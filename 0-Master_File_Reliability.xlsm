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Reliability\MyApp\"/>
    </mc:Choice>
  </mc:AlternateContent>
  <xr:revisionPtr revIDLastSave="0" documentId="13_ncr:1_{BB7EFDAA-F1B0-4BE8-A7F1-0115A0CC13D6}" xr6:coauthVersionLast="45" xr6:coauthVersionMax="45" xr10:uidLastSave="{00000000-0000-0000-0000-000000000000}"/>
  <bookViews>
    <workbookView xWindow="-96" yWindow="-96" windowWidth="23232" windowHeight="12552" activeTab="2" xr2:uid="{00000000-000D-0000-FFFF-FFFF00000000}"/>
  </bookViews>
  <sheets>
    <sheet name="Product" sheetId="1" r:id="rId1"/>
    <sheet name="Submit" sheetId="2" r:id="rId2"/>
    <sheet name="ALT Number" sheetId="3" r:id="rId3"/>
    <sheet name="Sheet1" sheetId="4" r:id="rId4"/>
    <sheet name="Test Groups" sheetId="5" r:id="rId5"/>
    <sheet name="Test Items" sheetId="6" r:id="rId6"/>
    <sheet name="DVT Assessment" sheetId="7" r:id="rId7"/>
    <sheet name="Backup-Groups" sheetId="8" r:id="rId8"/>
    <sheet name="Version" sheetId="9" r:id="rId9"/>
    <sheet name="Backup" sheetId="10" state="hidden" r:id="rId10"/>
  </sheets>
  <definedNames>
    <definedName name="_xlnm._FilterDatabase" localSheetId="2" hidden="1">'ALT Number'!$A$1:$V$297</definedName>
    <definedName name="Carrier_Tests">#REF!</definedName>
    <definedName name="Category">#REF!</definedName>
    <definedName name="Post_SA">Backup!$Z$2:$Z$4</definedName>
    <definedName name="PP">#REF!</definedName>
    <definedName name="Pr">#REF!</definedName>
    <definedName name="Pre_SA">Backup!$Y$2:$Y$3</definedName>
  </definedNames>
  <calcPr calcId="191029"/>
  <pivotCaches>
    <pivotCache cacheId="1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10" l="1"/>
  <c r="B22" i="10"/>
  <c r="B19" i="10"/>
  <c r="B4" i="10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F22" i="5" s="1"/>
  <c r="A4" i="6"/>
  <c r="A3" i="6"/>
  <c r="A2" i="6"/>
  <c r="A1" i="6"/>
  <c r="F20" i="5" s="1"/>
  <c r="A26" i="5"/>
  <c r="F26" i="5" s="1"/>
  <c r="A25" i="5"/>
  <c r="F25" i="5" s="1"/>
  <c r="A24" i="5"/>
  <c r="F24" i="5" s="1"/>
  <c r="A23" i="5"/>
  <c r="F23" i="5" s="1"/>
  <c r="A22" i="5"/>
  <c r="A21" i="5"/>
  <c r="F21" i="5" s="1"/>
  <c r="A20" i="5"/>
  <c r="A19" i="5"/>
  <c r="F19" i="5" s="1"/>
  <c r="A18" i="5"/>
  <c r="F18" i="5" s="1"/>
  <c r="A17" i="5"/>
  <c r="F17" i="5" s="1"/>
  <c r="A16" i="5"/>
  <c r="A15" i="5"/>
  <c r="F15" i="5" s="1"/>
  <c r="A14" i="5"/>
  <c r="A13" i="5"/>
  <c r="F13" i="5" s="1"/>
  <c r="A12" i="5"/>
  <c r="F12" i="5" s="1"/>
  <c r="A11" i="5"/>
  <c r="F11" i="5" s="1"/>
  <c r="A10" i="5"/>
  <c r="A9" i="5"/>
  <c r="F9" i="5" s="1"/>
  <c r="A8" i="5"/>
  <c r="A7" i="5"/>
  <c r="F7" i="5" s="1"/>
  <c r="A6" i="5"/>
  <c r="F6" i="5" s="1"/>
  <c r="A5" i="5"/>
  <c r="F5" i="5" s="1"/>
  <c r="F4" i="5"/>
  <c r="A4" i="5"/>
  <c r="A2" i="5"/>
  <c r="F2" i="5" s="1"/>
  <c r="B23" i="2"/>
  <c r="B22" i="2"/>
  <c r="B4" i="2"/>
  <c r="F14" i="5" l="1"/>
  <c r="F8" i="5"/>
  <c r="F10" i="5"/>
  <c r="F16" i="5"/>
</calcChain>
</file>

<file path=xl/sharedStrings.xml><?xml version="1.0" encoding="utf-8"?>
<sst xmlns="http://schemas.openxmlformats.org/spreadsheetml/2006/main" count="10173" uniqueCount="1514">
  <si>
    <t>Program/ID</t>
  </si>
  <si>
    <t>Segment Code</t>
  </si>
  <si>
    <t>Internal Name</t>
  </si>
  <si>
    <t>RDG</t>
  </si>
  <si>
    <t>BerlinNA21 Sub6 SS</t>
  </si>
  <si>
    <t>RDP</t>
  </si>
  <si>
    <t>Berlin21 Sub6 SS</t>
  </si>
  <si>
    <t>RDQ</t>
  </si>
  <si>
    <t>Berlin21 Sub6 DS</t>
  </si>
  <si>
    <t>RDH</t>
  </si>
  <si>
    <t>BerlinNA21 mmW VZW SS</t>
  </si>
  <si>
    <t>Moto Mobile Product</t>
  </si>
  <si>
    <t>Submit</t>
  </si>
  <si>
    <t>Sub-Cat</t>
  </si>
  <si>
    <t>Qty.</t>
  </si>
  <si>
    <t>New Units?</t>
  </si>
  <si>
    <t>Test Index</t>
  </si>
  <si>
    <t>Test Case</t>
  </si>
  <si>
    <t>QfR</t>
  </si>
  <si>
    <t>Submission Purpose</t>
  </si>
  <si>
    <t>Lab to Perform Test:</t>
  </si>
  <si>
    <t>WuHan Rel. Lab</t>
  </si>
  <si>
    <t>N</t>
  </si>
  <si>
    <t>ALT</t>
  </si>
  <si>
    <t>New</t>
  </si>
  <si>
    <t>ALT 2019</t>
  </si>
  <si>
    <t>MD ALT 2019</t>
  </si>
  <si>
    <t>Pls Input Test Purpose Here</t>
  </si>
  <si>
    <t>TMO 480581</t>
  </si>
  <si>
    <t>Rough Surface Stress</t>
  </si>
  <si>
    <t>Product ID</t>
  </si>
  <si>
    <t>DVT</t>
  </si>
  <si>
    <t>Reused</t>
  </si>
  <si>
    <t>DVT MDu04</t>
  </si>
  <si>
    <t>Threaded Fasteners Torque Retention</t>
  </si>
  <si>
    <t>TMO 483006</t>
  </si>
  <si>
    <t>SIM / SD Card Insertion / Removal Durability</t>
  </si>
  <si>
    <t>Product Name</t>
  </si>
  <si>
    <t>DVT MDu11</t>
  </si>
  <si>
    <t>Contact Height Post - Environmental</t>
  </si>
  <si>
    <t>TMO 483007</t>
  </si>
  <si>
    <t>SIM / SD Tray Removal Tool</t>
  </si>
  <si>
    <t>Category</t>
  </si>
  <si>
    <t>Pre SA</t>
  </si>
  <si>
    <t>DVT MDu14</t>
  </si>
  <si>
    <t>Particulate Motility Test (PMT)</t>
  </si>
  <si>
    <t>TMO 6509</t>
  </si>
  <si>
    <t>Thermal Rate of Change</t>
  </si>
  <si>
    <t>Who to perform this test?</t>
  </si>
  <si>
    <t>ALT Lab</t>
  </si>
  <si>
    <t>DVT MDu20</t>
  </si>
  <si>
    <t>Connector Insertion Cycling</t>
  </si>
  <si>
    <t>TMO 6510</t>
  </si>
  <si>
    <t>Transportation Induced Shock and Vibration Stresses</t>
  </si>
  <si>
    <t>ALT SubmissionSubmitter/Liaison Info</t>
  </si>
  <si>
    <t>DVT MDu21</t>
  </si>
  <si>
    <t>I/O Connector: Rotational Electrical Continuity</t>
  </si>
  <si>
    <t>TMO 6515</t>
  </si>
  <si>
    <t>Relative Humidity</t>
  </si>
  <si>
    <t>Please enter CoreID</t>
  </si>
  <si>
    <t>DVT MDu23</t>
  </si>
  <si>
    <t>I/O Connector: Sideload Durability Cycling</t>
  </si>
  <si>
    <t>TMO 6516</t>
  </si>
  <si>
    <t>Low Temperature Nature Stresses</t>
  </si>
  <si>
    <t>Electrical Engr 1:*</t>
  </si>
  <si>
    <t>hejh4</t>
  </si>
  <si>
    <t>DVT MDu28</t>
  </si>
  <si>
    <t>Connector Plug Drop and Load Robustness</t>
  </si>
  <si>
    <t>TMO 6517</t>
  </si>
  <si>
    <t>High Temperature Natural Stresses</t>
  </si>
  <si>
    <t>Mechanical Engr 1:*</t>
  </si>
  <si>
    <t>DVT MDu30</t>
  </si>
  <si>
    <t>Infra Red Imaging</t>
  </si>
  <si>
    <t>TMO 6523</t>
  </si>
  <si>
    <t>Surfaces B Stresses</t>
  </si>
  <si>
    <t>Sample Info</t>
  </si>
  <si>
    <t>DVT MDu31</t>
  </si>
  <si>
    <t>Side Button Tactile and Life Cycling</t>
  </si>
  <si>
    <t>TMO 6527</t>
  </si>
  <si>
    <t>Switch Actuation</t>
  </si>
  <si>
    <t>Factory:*</t>
  </si>
  <si>
    <t>WuHan</t>
  </si>
  <si>
    <t>DVT MDu33</t>
  </si>
  <si>
    <t>Keypad and Button Robustness</t>
  </si>
  <si>
    <t>TMO 6528</t>
  </si>
  <si>
    <t>Connector Durability</t>
  </si>
  <si>
    <t>Vintage Number:*</t>
  </si>
  <si>
    <t>PVT</t>
  </si>
  <si>
    <t>DVT MDu39</t>
  </si>
  <si>
    <t>Lens Scratch Resistance (steel wool) and Hardness</t>
  </si>
  <si>
    <t>TMO 6531</t>
  </si>
  <si>
    <t>Tumble Test (Phablets)</t>
  </si>
  <si>
    <t>Software Version:*</t>
  </si>
  <si>
    <t>NA</t>
  </si>
  <si>
    <t>DVT MDu42</t>
  </si>
  <si>
    <t>External Lens Scratch Resistance Test (Phone Level)</t>
  </si>
  <si>
    <t>TMO 6534</t>
  </si>
  <si>
    <t>Targeted Drop (Phablets)</t>
  </si>
  <si>
    <t>Build Number:</t>
  </si>
  <si>
    <t>N/A</t>
  </si>
  <si>
    <t>DVT MDu44</t>
  </si>
  <si>
    <t>Shield and PC Board robustness</t>
  </si>
  <si>
    <t>TMO 6538</t>
  </si>
  <si>
    <t>Impact Stress</t>
  </si>
  <si>
    <t>Project Info</t>
  </si>
  <si>
    <t>DVT MDu45</t>
  </si>
  <si>
    <t>SIM and Memory Card Insertion/Removal and Robustness</t>
  </si>
  <si>
    <t>TMO 6539</t>
  </si>
  <si>
    <t>Point Compression</t>
  </si>
  <si>
    <t>Submission Purpose:*</t>
  </si>
  <si>
    <t>Validation/DOE</t>
  </si>
  <si>
    <t>DVT MDu49</t>
  </si>
  <si>
    <t>Magnetic Particle (Ingress)</t>
  </si>
  <si>
    <t>TMO 6540</t>
  </si>
  <si>
    <t>Human Compression Stress</t>
  </si>
  <si>
    <t>Request From:*</t>
  </si>
  <si>
    <t>R&amp;D</t>
  </si>
  <si>
    <t>DVT MDu51</t>
  </si>
  <si>
    <t>Impact Exterior Surfaces</t>
  </si>
  <si>
    <t>TMO 6541</t>
  </si>
  <si>
    <t>Connector Torque Stress</t>
  </si>
  <si>
    <t>Unit/s Delivery to the Lab Date*:</t>
  </si>
  <si>
    <t>DVT MDu52</t>
  </si>
  <si>
    <t>Environmental / Chemical Susceptibility Of Consumer Products</t>
  </si>
  <si>
    <t>TMO 6543</t>
  </si>
  <si>
    <t>Particle Ingress</t>
  </si>
  <si>
    <t>Material Reuse Percentage:*(%)</t>
  </si>
  <si>
    <t>DVT MDu53</t>
  </si>
  <si>
    <t>Water Intrusion (Red Dye) Test</t>
  </si>
  <si>
    <t>TMO 6546</t>
  </si>
  <si>
    <t>Capillary Liquid Ingress</t>
  </si>
  <si>
    <t>DVT MDu55</t>
  </si>
  <si>
    <t>Vibrator Strength</t>
  </si>
  <si>
    <t>TMO 6547</t>
  </si>
  <si>
    <t>Liquid Ingress Spill</t>
  </si>
  <si>
    <t>Number of Tests</t>
  </si>
  <si>
    <t>DVT MDu56</t>
  </si>
  <si>
    <t>Abrasion Resistance Test (External Phone Surfaces)</t>
  </si>
  <si>
    <t>ATT 11</t>
  </si>
  <si>
    <t>RASS-Drop</t>
  </si>
  <si>
    <t>Samples Required</t>
  </si>
  <si>
    <t>DVT MDu59</t>
  </si>
  <si>
    <t>First Surface Finishes - Paint Adhesion</t>
  </si>
  <si>
    <t>ATT 12</t>
  </si>
  <si>
    <t>RASS-Tumble</t>
  </si>
  <si>
    <t>DVT MDu66</t>
  </si>
  <si>
    <t>Product Bend Test</t>
  </si>
  <si>
    <t>ATT 13</t>
  </si>
  <si>
    <t>RASS-Vibration</t>
  </si>
  <si>
    <t>使用说明：
1. 首先维护Product页面，确保项目名称和ALT Website信息一致。
2. B列填写基本信息，仅需填写白色背景单元格内容
3. D列和M列勾选所需提交的测试项
4. E列勾选子类，注意如果B5为Pre SA，则E列不应勾选CALT或C-DVT
5. 正确填写K列和S列测试目的，当前不支持中文字符
6. G列和O列根据需要填写，无强制要求
7. 实际样机数量为F列和N列，其中J列和R列的样机为参考样机数量，无特殊需求，不应被修改
8. 点击Reset按钮后会将除AB列之外的内容重置为原始状态
9. 如果需要提交多个相同测试项，仅需复制粘贴H&amp;I或者P&amp;Q列相应测试项内容
10. 非黑色背景标签页，可根据个人需求进行删除。</t>
  </si>
  <si>
    <t>DVT MDu70</t>
  </si>
  <si>
    <t>SIM Connector Misuse and Force Testing</t>
  </si>
  <si>
    <t>ATT 14</t>
  </si>
  <si>
    <t>RASS-Temperature and Humidity Cycling</t>
  </si>
  <si>
    <t>DVT MDu72</t>
  </si>
  <si>
    <t>Concentrated Pressure Fault – Pogo Test</t>
  </si>
  <si>
    <t>ATT 15</t>
  </si>
  <si>
    <t>Rough Surface Drop</t>
  </si>
  <si>
    <t>DVT MDu74</t>
  </si>
  <si>
    <t>Touch Screen / Back Cover Adhesion Test</t>
  </si>
  <si>
    <t>ATT 17</t>
  </si>
  <si>
    <t>Bend Test</t>
  </si>
  <si>
    <t>DVT MDu76</t>
  </si>
  <si>
    <t>Anti-Smudge (AS) Coating Abrasion Resistance</t>
  </si>
  <si>
    <t>ATT 18</t>
  </si>
  <si>
    <t>Display Thumb Test</t>
  </si>
  <si>
    <t>DVT MDu77</t>
  </si>
  <si>
    <t>Vibration Abrasion Test</t>
  </si>
  <si>
    <t>ATT 19</t>
  </si>
  <si>
    <t>Display Impact Test</t>
  </si>
  <si>
    <t>DVT MDu78</t>
  </si>
  <si>
    <t>SiC Scratch Drop Test</t>
  </si>
  <si>
    <t>ATT 20</t>
  </si>
  <si>
    <t>Abrasion Test</t>
  </si>
  <si>
    <t>DVT MDu79</t>
  </si>
  <si>
    <t>Product Water Resistance Test</t>
  </si>
  <si>
    <t>ATT 21</t>
  </si>
  <si>
    <t>Chemical Exposure Test</t>
  </si>
  <si>
    <t>DVT MXc03</t>
  </si>
  <si>
    <t>Power Cuts Impact Test</t>
  </si>
  <si>
    <t>ATT 23</t>
  </si>
  <si>
    <t>Water Ingress Test</t>
  </si>
  <si>
    <t>Y</t>
  </si>
  <si>
    <t>DVT Eval</t>
  </si>
  <si>
    <t>DVT MXc04</t>
  </si>
  <si>
    <t>Salt Spray Test</t>
  </si>
  <si>
    <t xml:space="preserve">BYD 6/21 painting scheme </t>
  </si>
  <si>
    <t>ATT 24</t>
  </si>
  <si>
    <t>LDI Trip Test</t>
  </si>
  <si>
    <t>DVT MXc05</t>
  </si>
  <si>
    <t>Water Ingress: Drip Test</t>
  </si>
  <si>
    <t>ATT 26</t>
  </si>
  <si>
    <t>Sand and Dust Exposure</t>
  </si>
  <si>
    <t>DVT MXc06</t>
  </si>
  <si>
    <t>Tumbler Test</t>
  </si>
  <si>
    <t>ATT 27</t>
  </si>
  <si>
    <t>Radiation/UV Exposure</t>
  </si>
  <si>
    <t>DVT MXc15</t>
  </si>
  <si>
    <t>Solar Radiation</t>
  </si>
  <si>
    <t>ATT 28</t>
  </si>
  <si>
    <t>Conn. Insertion Force</t>
  </si>
  <si>
    <t>DVT MXc19</t>
  </si>
  <si>
    <t>Liquid Detection Label (LDL) Effectiveness</t>
  </si>
  <si>
    <t>ATT 29</t>
  </si>
  <si>
    <t>Conn. Stress Test</t>
  </si>
  <si>
    <t>DVT MXc21</t>
  </si>
  <si>
    <t>Water Spray Test</t>
  </si>
  <si>
    <t>ATT 30</t>
  </si>
  <si>
    <t>ESD</t>
  </si>
  <si>
    <t>DVT MXc22</t>
  </si>
  <si>
    <t>Water Ingress Protection IPX2</t>
  </si>
  <si>
    <t>DVT EDu01</t>
  </si>
  <si>
    <t>Performance during Humidity and Extreme Temperature</t>
  </si>
  <si>
    <t>DVT EDu03</t>
  </si>
  <si>
    <t>ESD Certification Test</t>
  </si>
  <si>
    <t>DVT EDu06</t>
  </si>
  <si>
    <t>RF Radiation Test</t>
  </si>
  <si>
    <t>DVT EDu09</t>
  </si>
  <si>
    <t>RAM Integrity Test</t>
  </si>
  <si>
    <t>DVT EDu11</t>
  </si>
  <si>
    <t>Shorted Charger Test</t>
  </si>
  <si>
    <t>DVT EDu12</t>
  </si>
  <si>
    <t>eMMC Memory Durability Test</t>
  </si>
  <si>
    <t>DVT EDu13</t>
  </si>
  <si>
    <t>Battery Performance at Various Temperature</t>
  </si>
  <si>
    <t>DVT EDu14</t>
  </si>
  <si>
    <t>Pulse Transient Surge Test</t>
  </si>
  <si>
    <t>DVT EDu15</t>
  </si>
  <si>
    <t>Soft Short</t>
  </si>
  <si>
    <t>DVT EDu16</t>
  </si>
  <si>
    <t>Charger Overvoltage test</t>
  </si>
  <si>
    <t>DVT EPr02</t>
  </si>
  <si>
    <t>eCompass Validation</t>
  </si>
  <si>
    <t>DVT EPr03</t>
  </si>
  <si>
    <t>Memory Card Compatibility Testing</t>
  </si>
  <si>
    <t>DVT EPr04</t>
  </si>
  <si>
    <t>Proximity Sensor Condensation Immunity Test</t>
  </si>
  <si>
    <t>Battery ALT</t>
  </si>
  <si>
    <t>CEC</t>
  </si>
  <si>
    <t>California Energy Commission (CEC)</t>
  </si>
  <si>
    <t>ERT</t>
  </si>
  <si>
    <t>ERT Display &amp; TP Assm Test (Component Level)</t>
  </si>
  <si>
    <t>ERT FPS Test (Component Level)</t>
  </si>
  <si>
    <t>ERT Imagers Test (Component Level)</t>
  </si>
  <si>
    <t>ERT Phone Level Test (Including Pogo Test)</t>
  </si>
  <si>
    <t>ERT Vibrator Test (Component Level)</t>
  </si>
  <si>
    <t>Evaluation/DOE</t>
  </si>
  <si>
    <t>Temperature</t>
  </si>
  <si>
    <t>Temperature &amp; Humidity Test</t>
  </si>
  <si>
    <t>BYD 6/21 painting scheme, ALT thermal cycle</t>
  </si>
  <si>
    <t>Temperature only</t>
  </si>
  <si>
    <t>Others</t>
  </si>
  <si>
    <t>Measurement</t>
  </si>
  <si>
    <t>3-D Measurement</t>
  </si>
  <si>
    <t>Vintage</t>
  </si>
  <si>
    <t>Eval
Carrier</t>
  </si>
  <si>
    <t>Test</t>
  </si>
  <si>
    <t>ALT
Number</t>
  </si>
  <si>
    <t>Status</t>
  </si>
  <si>
    <t>Purpose</t>
  </si>
  <si>
    <t>Test Result</t>
  </si>
  <si>
    <t>Failures</t>
  </si>
  <si>
    <t>Corrective Actions</t>
  </si>
  <si>
    <t>Test Report</t>
  </si>
  <si>
    <t>Complete
Date</t>
  </si>
  <si>
    <t>Score Assessment</t>
  </si>
  <si>
    <t>Assessment
Notes</t>
  </si>
  <si>
    <t>Sub for Assess?</t>
  </si>
  <si>
    <t>Update Vintage</t>
  </si>
  <si>
    <t>Final Result?</t>
  </si>
  <si>
    <t>Assess Done?</t>
  </si>
  <si>
    <t>New
Units?</t>
  </si>
  <si>
    <t>Unit Aail
Date</t>
  </si>
  <si>
    <t>Product</t>
  </si>
  <si>
    <t>Delta Date</t>
  </si>
  <si>
    <t>5G FR1 Conformance Testing</t>
  </si>
  <si>
    <t>RF138393</t>
  </si>
  <si>
    <t>Completed</t>
  </si>
  <si>
    <t>Passed</t>
  </si>
  <si>
    <t> </t>
  </si>
  <si>
    <t>Open</t>
  </si>
  <si>
    <t>2021/06/02</t>
  </si>
  <si>
    <t>Odyssey NA/LA SS/DS [motorola razr (2020)] (QXL)</t>
  </si>
  <si>
    <t>OK2SHIP</t>
  </si>
  <si>
    <t>DVT MDu64 Eval - Flip Cycling Test</t>
  </si>
  <si>
    <t>WH138179</t>
  </si>
  <si>
    <t>Pass 120K and stopped test.</t>
  </si>
  <si>
    <t>2021/05/28</t>
  </si>
  <si>
    <t>Odyssey APEM/EU/PRC SS/DS [motorola razr 5G] (QXN)</t>
  </si>
  <si>
    <t>MD C-ALT 2019</t>
  </si>
  <si>
    <t>WH137128</t>
  </si>
  <si>
    <t>3.37</t>
  </si>
  <si>
    <t>MP</t>
  </si>
  <si>
    <t>DVT MDu64 C - Flip Cycling Test</t>
  </si>
  <si>
    <t>WH136982</t>
  </si>
  <si>
    <t>Failed</t>
  </si>
  <si>
    <t>DOE</t>
  </si>
  <si>
    <t>MD ALT 2019 - Eval</t>
  </si>
  <si>
    <t>WH136782</t>
  </si>
  <si>
    <t>finished, only do the temperature store no report</t>
  </si>
  <si>
    <t>WH136120</t>
  </si>
  <si>
    <t>WH135403</t>
  </si>
  <si>
    <t>3.11</t>
  </si>
  <si>
    <t>Conducted pretest(typical channel)</t>
  </si>
  <si>
    <t>RF135274</t>
  </si>
  <si>
    <t>FAIL</t>
  </si>
  <si>
    <t>2021/02/23</t>
  </si>
  <si>
    <t>WH133765</t>
  </si>
  <si>
    <t>2.99</t>
  </si>
  <si>
    <t>RF133661</t>
  </si>
  <si>
    <t>NR pretest(screening)</t>
  </si>
  <si>
    <t>RF133658</t>
  </si>
  <si>
    <t>5G Test Results PASS</t>
  </si>
  <si>
    <t>2020/11/26</t>
  </si>
  <si>
    <t>2/3/4g+Wifi TPR/TIS</t>
  </si>
  <si>
    <t>RF133254</t>
  </si>
  <si>
    <t>2020/11/13</t>
  </si>
  <si>
    <t>2G3G4G TRP/TIS</t>
  </si>
  <si>
    <t>RF133054</t>
  </si>
  <si>
    <t>2020/11/09</t>
  </si>
  <si>
    <t>WH132822</t>
  </si>
  <si>
    <t>3.17</t>
  </si>
  <si>
    <t>finished</t>
  </si>
  <si>
    <t>2021/01/10</t>
  </si>
  <si>
    <t>TRP and Single point TIS+GPS</t>
  </si>
  <si>
    <t>RF132504</t>
  </si>
  <si>
    <t>2020/11/05</t>
  </si>
  <si>
    <t>RF132398</t>
  </si>
  <si>
    <t>2020/11/08</t>
  </si>
  <si>
    <t>DVT MDu04 Eval - Threaded Fasteners Torque Retention</t>
  </si>
  <si>
    <t>WH132233</t>
  </si>
  <si>
    <t>2020/10/30</t>
  </si>
  <si>
    <t>RF132231</t>
  </si>
  <si>
    <t>EVT</t>
  </si>
  <si>
    <t>WH132077</t>
  </si>
  <si>
    <t>WH132008</t>
  </si>
  <si>
    <t>3.21</t>
  </si>
  <si>
    <t>DVT MDu30 Eval - Infra Red Imaging</t>
  </si>
  <si>
    <t>WH131933</t>
  </si>
  <si>
    <t>2020/10/13</t>
  </si>
  <si>
    <t>WH131932</t>
  </si>
  <si>
    <t>TIANMA foldable performance 3rd round evaulation;one unit pass 20k,one unit pass 140k</t>
  </si>
  <si>
    <t>DVT MDu75 - Packaging Durability</t>
  </si>
  <si>
    <t>WH131868</t>
  </si>
  <si>
    <t>2020/10/20</t>
  </si>
  <si>
    <t>WH131867</t>
  </si>
  <si>
    <t>ONLY 12samples didn't test mdu64</t>
  </si>
  <si>
    <t>WH131772</t>
  </si>
  <si>
    <t>WH131771</t>
  </si>
  <si>
    <t>WH131694</t>
  </si>
  <si>
    <t>WH131641</t>
  </si>
  <si>
    <t>3.22</t>
  </si>
  <si>
    <t>DVT MDu75 Eval - Packaging Durability</t>
  </si>
  <si>
    <t>WH131383</t>
  </si>
  <si>
    <t>WH131379</t>
  </si>
  <si>
    <t>WH131374</t>
  </si>
  <si>
    <t>WH131373</t>
  </si>
  <si>
    <t>OK2Pilot</t>
  </si>
  <si>
    <t>WH131342</t>
  </si>
  <si>
    <t>DVT2B</t>
  </si>
  <si>
    <t>WH131223</t>
  </si>
  <si>
    <t>WH131203</t>
  </si>
  <si>
    <t>WH131092</t>
  </si>
  <si>
    <t>WH131091</t>
  </si>
  <si>
    <t>WH131069</t>
  </si>
  <si>
    <t>2020/09/24</t>
  </si>
  <si>
    <t>WH131068</t>
  </si>
  <si>
    <t>only drop 3 loops for the vibration DOE</t>
  </si>
  <si>
    <t>2020/09/08</t>
  </si>
  <si>
    <t>WH131067</t>
  </si>
  <si>
    <t>RF131035</t>
  </si>
  <si>
    <t>WH131032</t>
  </si>
  <si>
    <t>cancel the DOE</t>
  </si>
  <si>
    <t>WH130997</t>
  </si>
  <si>
    <t>DOE,no test report  ,Tianma  main display evaluate test. one unit fail at 40k,one unit fail at 120k</t>
  </si>
  <si>
    <t>DVT MDu74 - Touch Screen / Back Cover Adhesion Test</t>
  </si>
  <si>
    <t>WH130896</t>
  </si>
  <si>
    <t>WH130894</t>
  </si>
  <si>
    <t>WH130893</t>
  </si>
  <si>
    <t>after loop1 temperature store the CLI gap became worse so stop the test</t>
  </si>
  <si>
    <t>WH130722</t>
  </si>
  <si>
    <t>cancel the test</t>
  </si>
  <si>
    <t>DVT MDu74 C - Touch Screen / Back Cover Adhesion Test</t>
  </si>
  <si>
    <t>WH130578</t>
  </si>
  <si>
    <t>2020/09/22</t>
  </si>
  <si>
    <t>WH130577</t>
  </si>
  <si>
    <t>2020/09/11</t>
  </si>
  <si>
    <t>WH130538</t>
  </si>
  <si>
    <t>2020/09/21</t>
  </si>
  <si>
    <t>WH130532</t>
  </si>
  <si>
    <t>RF130488</t>
  </si>
  <si>
    <t>2020/11/03</t>
  </si>
  <si>
    <t>WIFI TRP/TIS</t>
  </si>
  <si>
    <t>RF130447</t>
  </si>
  <si>
    <t>2020/11/04</t>
  </si>
  <si>
    <t>WH130358</t>
  </si>
  <si>
    <t>WH130357</t>
  </si>
  <si>
    <t>WH130356</t>
  </si>
  <si>
    <t>WH130355</t>
  </si>
  <si>
    <t>DVT MDu55 Eval - Vibrator Strength</t>
  </si>
  <si>
    <t>WH130301</t>
  </si>
  <si>
    <t>WH130265</t>
  </si>
  <si>
    <t>WH130216</t>
  </si>
  <si>
    <t>WH130215</t>
  </si>
  <si>
    <t>DVT EDu14 C - Pulse Transient Surge Test</t>
  </si>
  <si>
    <t>WH130143</t>
  </si>
  <si>
    <t>2020/08/25</t>
  </si>
  <si>
    <t>DVT MDu77 C - Vibration Abrasion Test</t>
  </si>
  <si>
    <t>WH130141</t>
  </si>
  <si>
    <t>DVT MXc06 C - Tumbler Test</t>
  </si>
  <si>
    <t>WH130140</t>
  </si>
  <si>
    <t>DVT MDu14 C - Particulate Motility Test (PMT)</t>
  </si>
  <si>
    <t>WH130138</t>
  </si>
  <si>
    <t>DVT MXc05 C - Water Ingress: Drip Test</t>
  </si>
  <si>
    <t>WH130137</t>
  </si>
  <si>
    <t>DVT EDu06 C- RF Radiation Test</t>
  </si>
  <si>
    <t>WH130136</t>
  </si>
  <si>
    <t>DVT MDu45 C - SIM and Memory Card Insertion/Removal and Robustness</t>
  </si>
  <si>
    <t>WH130135</t>
  </si>
  <si>
    <t>DVT MDu20 C - Connector Insertion Cycling</t>
  </si>
  <si>
    <t>WH130133</t>
  </si>
  <si>
    <t>OK2RAMP</t>
  </si>
  <si>
    <t>WH130055</t>
  </si>
  <si>
    <t>2.81</t>
  </si>
  <si>
    <t>OK2Ramp</t>
  </si>
  <si>
    <t>WH130054</t>
  </si>
  <si>
    <t>2.75</t>
  </si>
  <si>
    <t>RF129982</t>
  </si>
  <si>
    <t>WH129814</t>
  </si>
  <si>
    <t>3 units weak vibration.</t>
  </si>
  <si>
    <t>2020/08/14</t>
  </si>
  <si>
    <t>WH129749</t>
  </si>
  <si>
    <t>Two units weak vibration.</t>
  </si>
  <si>
    <t>WH129744</t>
  </si>
  <si>
    <t>RF129737</t>
  </si>
  <si>
    <t>WH129704</t>
  </si>
  <si>
    <t>2020/08/07</t>
  </si>
  <si>
    <t>RF129682</t>
  </si>
  <si>
    <t>WH129679</t>
  </si>
  <si>
    <t>2020/08/05</t>
  </si>
  <si>
    <t>DVT MDu16 - Flip or Slider Hyper extension Test</t>
  </si>
  <si>
    <t>WH129562</t>
  </si>
  <si>
    <t>WH129560</t>
  </si>
  <si>
    <t>50k cam wear</t>
  </si>
  <si>
    <t>WH129483</t>
  </si>
  <si>
    <t>2.64</t>
  </si>
  <si>
    <t>WH129464</t>
  </si>
  <si>
    <t>WH129403</t>
  </si>
  <si>
    <t>Only perform Temprature test.</t>
  </si>
  <si>
    <t>2020/08/11</t>
  </si>
  <si>
    <t>WH129269</t>
  </si>
  <si>
    <t>2020/08/06</t>
  </si>
  <si>
    <t>WH129268</t>
  </si>
  <si>
    <t>DVT2</t>
  </si>
  <si>
    <t>RF129251</t>
  </si>
  <si>
    <t>DVT MDu55 - Vibrator Strength</t>
  </si>
  <si>
    <t>WH129217</t>
  </si>
  <si>
    <t>DVT MDu76 - Anti-Smudge (AS) Coating Abrasion Resistance</t>
  </si>
  <si>
    <t>WH129216</t>
  </si>
  <si>
    <t>2020/07/28</t>
  </si>
  <si>
    <t>DVT MDu77 - Vibration Abrasion Test</t>
  </si>
  <si>
    <t>WH129215</t>
  </si>
  <si>
    <t>2020/07/27</t>
  </si>
  <si>
    <t>DVT MXc06 Eval - Tumbler Test</t>
  </si>
  <si>
    <t>WH129209</t>
  </si>
  <si>
    <t>WH129168</t>
  </si>
  <si>
    <t>Initial screw torque changed, and we only need to output final screw torque value.</t>
  </si>
  <si>
    <t>WH129159</t>
  </si>
  <si>
    <t>DVT EDu06 Eval - RF Radiation Test</t>
  </si>
  <si>
    <t>WH129158</t>
  </si>
  <si>
    <t>D3-5ft Bottom drop X1: SIM card can only be ready after restarting the phone.</t>
  </si>
  <si>
    <t>DVT MDu77 Eval - Vibration Abrasion Test</t>
  </si>
  <si>
    <t>WH128911</t>
  </si>
  <si>
    <t>test is pass according the limit samples</t>
  </si>
  <si>
    <t>WH128895</t>
  </si>
  <si>
    <t>DVT MDu30 - Infra Red Imaging</t>
  </si>
  <si>
    <t>WH128836</t>
  </si>
  <si>
    <t>DVT MXc05 Eval - Water Ingress: Drip Test</t>
  </si>
  <si>
    <t>WH128803</t>
  </si>
  <si>
    <t>WH128741</t>
  </si>
  <si>
    <t>only have wear and wear is know issue</t>
  </si>
  <si>
    <t>WH128683</t>
  </si>
  <si>
    <t>RF128648</t>
  </si>
  <si>
    <t>WH128564</t>
  </si>
  <si>
    <t>2020/07/17</t>
  </si>
  <si>
    <t>DVT MDu64 - Flip Cycling Test</t>
  </si>
  <si>
    <t>WH128510</t>
  </si>
  <si>
    <t>30k have noise but noise only is refer</t>
  </si>
  <si>
    <t>DVT EDu01 - Performance during Humidity and Extreme Temperature</t>
  </si>
  <si>
    <t>WH128509</t>
  </si>
  <si>
    <t>2020/07/15</t>
  </si>
  <si>
    <t>WH128494</t>
  </si>
  <si>
    <t>DVT MDu28 Eval - Connector Plug Drop and Load Robustness</t>
  </si>
  <si>
    <t>WH128488</t>
  </si>
  <si>
    <t>2020/07/13</t>
  </si>
  <si>
    <t>DVT MDu21 Eval - I/O Connector: Rotational Electrical Continuity</t>
  </si>
  <si>
    <t>WH128487</t>
  </si>
  <si>
    <t>RF128484</t>
  </si>
  <si>
    <t>DVT MXc03 - Power Cuts Impact Test</t>
  </si>
  <si>
    <t>WH128419</t>
  </si>
  <si>
    <t>DVT MDu59 - First Surface Finishes - Paint Adhesion</t>
  </si>
  <si>
    <t>WH128418</t>
  </si>
  <si>
    <t>2020/07/06</t>
  </si>
  <si>
    <t>WH128416</t>
  </si>
  <si>
    <t>the gold color housing result used for limit sample</t>
  </si>
  <si>
    <t>2020/07/07</t>
  </si>
  <si>
    <t>WH128415</t>
  </si>
  <si>
    <t>DVT MDu78 Eval - SiC Scratch Drop Test</t>
  </si>
  <si>
    <t>WH128303</t>
  </si>
  <si>
    <t>2020/07/03</t>
  </si>
  <si>
    <t>DVT MDu52 - Environmental / Chemical Susceptibility Of Consumer Products</t>
  </si>
  <si>
    <t>WH128302</t>
  </si>
  <si>
    <t>DVT MDu70 - SIM Connector Misuse and Force Testing</t>
  </si>
  <si>
    <t>WH128301</t>
  </si>
  <si>
    <t>DVT MDu23 - I/O Connector: Sideload Durability Cycling</t>
  </si>
  <si>
    <t>WH128300</t>
  </si>
  <si>
    <t>DVT MDu31 - Side Button Tactile and Life Cycling</t>
  </si>
  <si>
    <t>WH128299</t>
  </si>
  <si>
    <t>DVT MDu49 - Magnetic Particle (Ingress)</t>
  </si>
  <si>
    <t>WH128297</t>
  </si>
  <si>
    <t>DVT MDu44 - Shield and PC Board robustness</t>
  </si>
  <si>
    <t>WH128296</t>
  </si>
  <si>
    <t>DVT MDu21 - I/O Connector: Rotational Electrical Continuity</t>
  </si>
  <si>
    <t>WH128295</t>
  </si>
  <si>
    <t>WH128238</t>
  </si>
  <si>
    <t>DVT MDu51 - Impact Exterior Surfaces</t>
  </si>
  <si>
    <t>WH128213</t>
  </si>
  <si>
    <t>DVT MDu45 - SIM and Memory Card Insertion/Removal and Robustness</t>
  </si>
  <si>
    <t>WH128212</t>
  </si>
  <si>
    <t>2020/07/01</t>
  </si>
  <si>
    <t>DVT MEr04 - Ergonomic Tests</t>
  </si>
  <si>
    <t>WH128209</t>
  </si>
  <si>
    <t>WH128208</t>
  </si>
  <si>
    <t>DVT MDu14 - Particulate Motility Test (PMT)</t>
  </si>
  <si>
    <t>WH128111</t>
  </si>
  <si>
    <t>WH128110</t>
  </si>
  <si>
    <t>DVT EDu06 - RF Radiation Test</t>
  </si>
  <si>
    <t>WH128086</t>
  </si>
  <si>
    <t>DVT EDu14 - Pulse Transient Surge Test</t>
  </si>
  <si>
    <t>WH128085</t>
  </si>
  <si>
    <t>DVT EDu13 - Battery Performance at Various Temperature</t>
  </si>
  <si>
    <t>WH128084</t>
  </si>
  <si>
    <t>RF128083</t>
  </si>
  <si>
    <t>DVT MXc20 Eval - Water Submersion Test</t>
  </si>
  <si>
    <t>WH128073</t>
  </si>
  <si>
    <t>TMO 6547 Liquid Ingress Spill</t>
  </si>
  <si>
    <t>WH128072</t>
  </si>
  <si>
    <t>WH128071</t>
  </si>
  <si>
    <t>DVT MDu04 - Threaded Fasteners Torque Retention</t>
  </si>
  <si>
    <t>WH127998</t>
  </si>
  <si>
    <t>WH127996</t>
  </si>
  <si>
    <t>DOE,only test 1k ,the samples not correct so stop the test</t>
  </si>
  <si>
    <t>WH127995</t>
  </si>
  <si>
    <t>DVT3</t>
  </si>
  <si>
    <t>WH127978</t>
  </si>
  <si>
    <t>No report ,only temperature store for PCBA shipping package reliability verify</t>
  </si>
  <si>
    <t>WH127973</t>
  </si>
  <si>
    <t>LDL triggered (ignore )</t>
  </si>
  <si>
    <t>TMO 6534 Targeted Drop (Phablets)</t>
  </si>
  <si>
    <t>WH127972</t>
  </si>
  <si>
    <t>reuse ALT drop report</t>
  </si>
  <si>
    <t>TMO 6531 Tumble Test (Phablets)</t>
  </si>
  <si>
    <t>WH127971</t>
  </si>
  <si>
    <t>reuse test report</t>
  </si>
  <si>
    <t>TMO 6533 Targeted Drop (Smartphones)</t>
  </si>
  <si>
    <t>WH127970</t>
  </si>
  <si>
    <t>TMO 480581 Rough Surface Stress</t>
  </si>
  <si>
    <t>WH127969</t>
  </si>
  <si>
    <t>WH127968</t>
  </si>
  <si>
    <t>WH127958</t>
  </si>
  <si>
    <t>RF127943</t>
  </si>
  <si>
    <t>RF127941</t>
  </si>
  <si>
    <t>RF127854</t>
  </si>
  <si>
    <t>PASS</t>
  </si>
  <si>
    <t>2020/11/10</t>
  </si>
  <si>
    <t>WH127729</t>
  </si>
  <si>
    <t>TMO test</t>
  </si>
  <si>
    <t>DVT MDu16 Eval - Flip or Slider Hyper extension Test</t>
  </si>
  <si>
    <t>WH127728</t>
  </si>
  <si>
    <t>DVT MDu18 Eval - Flip/Slider Robustness</t>
  </si>
  <si>
    <t>WH127727</t>
  </si>
  <si>
    <t>DVT MDu39 Eval - Lens Scratch Resistance (steel wool) and Hardness</t>
  </si>
  <si>
    <t>WH127726</t>
  </si>
  <si>
    <t>TMO 483007 SIM / SD Tray Removal Tool</t>
  </si>
  <si>
    <t>WH127725</t>
  </si>
  <si>
    <t>TMO 483006 SIM / SD Card Insertion / Removal Durability</t>
  </si>
  <si>
    <t>WH127724</t>
  </si>
  <si>
    <t>TMO 6507 Overheating</t>
  </si>
  <si>
    <t>WH127715</t>
  </si>
  <si>
    <t>TMO 6527 Switch Actuation</t>
  </si>
  <si>
    <t>WH127701</t>
  </si>
  <si>
    <t>TMO 6540 Human Compression Stress</t>
  </si>
  <si>
    <t>WH127695</t>
  </si>
  <si>
    <t>WH127694</t>
  </si>
  <si>
    <t>TMO 6546 Capillary Liquid Ingress</t>
  </si>
  <si>
    <t>WH127691</t>
  </si>
  <si>
    <t>phone LDL triggered(ignore)</t>
  </si>
  <si>
    <t>ATT 27 Radiation/UV Exposure</t>
  </si>
  <si>
    <t>WH127686</t>
  </si>
  <si>
    <t>ATT 28 Conn. Insertion Force</t>
  </si>
  <si>
    <t>WH127685</t>
  </si>
  <si>
    <t>ATT 30 ESD</t>
  </si>
  <si>
    <t>WH127684</t>
  </si>
  <si>
    <t>ATT 29 Conn. Stress Test</t>
  </si>
  <si>
    <t>WH127682</t>
  </si>
  <si>
    <t>ATT 17 Bend Test</t>
  </si>
  <si>
    <t>WH127678</t>
  </si>
  <si>
    <t>ATT 26 Sand and Dust Exposure</t>
  </si>
  <si>
    <t>WH127677</t>
  </si>
  <si>
    <t>ATT 24 LDI Trip Test</t>
  </si>
  <si>
    <t>WH127675</t>
  </si>
  <si>
    <t>2020/08/12</t>
  </si>
  <si>
    <t>ATT 23 Water Ingress Test</t>
  </si>
  <si>
    <t>WH127673</t>
  </si>
  <si>
    <t>ATT 18 Display Thumb Test</t>
  </si>
  <si>
    <t>WH127667</t>
  </si>
  <si>
    <t>ATT 19 Display Impact Test</t>
  </si>
  <si>
    <t>WH127666</t>
  </si>
  <si>
    <t>test different height</t>
  </si>
  <si>
    <t>ATT 20 Abrasion Test</t>
  </si>
  <si>
    <t>WH127664</t>
  </si>
  <si>
    <t>ATT 14 RASS-Temperature and Humidity Cycling</t>
  </si>
  <si>
    <t>WH127663</t>
  </si>
  <si>
    <t>ATT 13 RASS-Vibration</t>
  </si>
  <si>
    <t>WH127662</t>
  </si>
  <si>
    <t>WH127661</t>
  </si>
  <si>
    <t>ATT 12 RASS-Tumble</t>
  </si>
  <si>
    <t>WH127660</t>
  </si>
  <si>
    <t>ATT 11 RASS-Drop</t>
  </si>
  <si>
    <t>WH127657</t>
  </si>
  <si>
    <t>WH127616</t>
  </si>
  <si>
    <t>WH127610</t>
  </si>
  <si>
    <t>DVT MDu45 Eval - SIM and Memory Card Insertion/Removal and Robustness</t>
  </si>
  <si>
    <t>WH127590</t>
  </si>
  <si>
    <t>WH127589</t>
  </si>
  <si>
    <t>DVT MDu70 Eval - SIM Connector Misuse and Force Testing</t>
  </si>
  <si>
    <t>WH127588</t>
  </si>
  <si>
    <t>WH127587</t>
  </si>
  <si>
    <t>WH127586</t>
  </si>
  <si>
    <t>RF127570</t>
  </si>
  <si>
    <t>RF127569</t>
  </si>
  <si>
    <t>RF127453</t>
  </si>
  <si>
    <t>RF127452</t>
  </si>
  <si>
    <t>DVT EDu13 Eval - Battery Performance at Various Temperature</t>
  </si>
  <si>
    <t>WH127351</t>
  </si>
  <si>
    <t>WH127285</t>
  </si>
  <si>
    <t>DVT1C</t>
  </si>
  <si>
    <t>Radiated susceptibility(RS)</t>
  </si>
  <si>
    <t>RF127284</t>
  </si>
  <si>
    <t>RF127283</t>
  </si>
  <si>
    <t>2020/11/16</t>
  </si>
  <si>
    <t>RF127282</t>
  </si>
  <si>
    <t>2021/02/20</t>
  </si>
  <si>
    <t>WH127262</t>
  </si>
  <si>
    <t>DVT2A</t>
  </si>
  <si>
    <t>RF127193</t>
  </si>
  <si>
    <t>WH127188</t>
  </si>
  <si>
    <t>2020/06/15</t>
  </si>
  <si>
    <t>RF127138</t>
  </si>
  <si>
    <t>RF127110</t>
  </si>
  <si>
    <t>2020/06/12</t>
  </si>
  <si>
    <t>WH127044</t>
  </si>
  <si>
    <t>2020/06/05</t>
  </si>
  <si>
    <t>DVT MDu11 - Contact Height Post - Environmental</t>
  </si>
  <si>
    <t>WH127043</t>
  </si>
  <si>
    <t>2020/06/14</t>
  </si>
  <si>
    <t>WH127042</t>
  </si>
  <si>
    <t>2020/06/04</t>
  </si>
  <si>
    <t>WH127041</t>
  </si>
  <si>
    <t>DVT MXc20 - Water Submersion Test</t>
  </si>
  <si>
    <t>WH127040</t>
  </si>
  <si>
    <t>DVT EDu09 Eval - RAM Integrity Test</t>
  </si>
  <si>
    <t>WH127039</t>
  </si>
  <si>
    <t>DVT EDu12 - eMMC Memory Durability Test</t>
  </si>
  <si>
    <t>WH127038</t>
  </si>
  <si>
    <t>DVT MDu56 Eval - Abrasion Resistance Test (External Phone Surfaces)</t>
  </si>
  <si>
    <t>WH127037</t>
  </si>
  <si>
    <t>DVT MDu42 Eval - External Lens Scratch Resistance Test (Phone Level)</t>
  </si>
  <si>
    <t>WH127036</t>
  </si>
  <si>
    <t>WH127032</t>
  </si>
  <si>
    <t>RF126928</t>
  </si>
  <si>
    <t>Typical channel testing</t>
  </si>
  <si>
    <t>RF126919</t>
  </si>
  <si>
    <t>2020/06/01</t>
  </si>
  <si>
    <t>RF126918</t>
  </si>
  <si>
    <t>WH126873</t>
  </si>
  <si>
    <t>2020/05/29</t>
  </si>
  <si>
    <t>WH126872</t>
  </si>
  <si>
    <t>WH126871</t>
  </si>
  <si>
    <t>WH126870</t>
  </si>
  <si>
    <t>RF126833</t>
  </si>
  <si>
    <t>WH126823</t>
  </si>
  <si>
    <t>35K Flip can not close totally(recovered after test to 56K) ,100K Flip stuck.</t>
  </si>
  <si>
    <t>WH126809</t>
  </si>
  <si>
    <t>DVT MDu74 Eval - Touch Screen / Back Cover Adhesion Test</t>
  </si>
  <si>
    <t>WH126808</t>
  </si>
  <si>
    <t>WH126807</t>
  </si>
  <si>
    <t>RF126682</t>
  </si>
  <si>
    <t>DVT MDu59 Eval - First Surface Finishes - Paint Adhesion</t>
  </si>
  <si>
    <t>WH126663</t>
  </si>
  <si>
    <t>RF126613</t>
  </si>
  <si>
    <t>WH126552</t>
  </si>
  <si>
    <t>DVT MDu44 Eval - Shield and PC Board robustness</t>
  </si>
  <si>
    <t>WH126515</t>
  </si>
  <si>
    <t>WH126503</t>
  </si>
  <si>
    <t>TMO 6523 Surfaces B Stresses</t>
  </si>
  <si>
    <t>WH126435</t>
  </si>
  <si>
    <t>RF126401</t>
  </si>
  <si>
    <t>2020/11/15</t>
  </si>
  <si>
    <t>RF126400</t>
  </si>
  <si>
    <t>RF126399</t>
  </si>
  <si>
    <t>RF126324</t>
  </si>
  <si>
    <t>RF126322</t>
  </si>
  <si>
    <t>WH126266</t>
  </si>
  <si>
    <t>use google player test and the battery life no long</t>
  </si>
  <si>
    <t>WH126249</t>
  </si>
  <si>
    <t>RF126160</t>
  </si>
  <si>
    <t>WH126115</t>
  </si>
  <si>
    <t>2020/08/04</t>
  </si>
  <si>
    <t>WH126093</t>
  </si>
  <si>
    <t>2020/05/12</t>
  </si>
  <si>
    <t>WH126090</t>
  </si>
  <si>
    <t>WH126089</t>
  </si>
  <si>
    <t>DVT MDu33 - Keypad and Button Robustness</t>
  </si>
  <si>
    <t>WH126088</t>
  </si>
  <si>
    <t>2020/05/07</t>
  </si>
  <si>
    <t>WH126087</t>
  </si>
  <si>
    <t>WH126086</t>
  </si>
  <si>
    <t>WH126085</t>
  </si>
  <si>
    <t>40K Flip stuck</t>
  </si>
  <si>
    <t>DVT MDu72 - Concentrated Pressure Fault – Pogo Test</t>
  </si>
  <si>
    <t>WH126084</t>
  </si>
  <si>
    <t>WH126083</t>
  </si>
  <si>
    <t>WH126082</t>
  </si>
  <si>
    <t>WH126081</t>
  </si>
  <si>
    <t>WH126080</t>
  </si>
  <si>
    <t>WH126079</t>
  </si>
  <si>
    <t>Radiated Spurious Emission(RSE)</t>
  </si>
  <si>
    <t>RF126078</t>
  </si>
  <si>
    <t>WH125958</t>
  </si>
  <si>
    <t>WH125957</t>
  </si>
  <si>
    <t>WH125956</t>
  </si>
  <si>
    <t>Head SAR</t>
  </si>
  <si>
    <t>RF125903</t>
  </si>
  <si>
    <t>DVT EDu14 Eval - Pulse Transient Surge Test</t>
  </si>
  <si>
    <t>WH125897</t>
  </si>
  <si>
    <t>RF125894</t>
  </si>
  <si>
    <t>WH125794</t>
  </si>
  <si>
    <t>RF125747</t>
  </si>
  <si>
    <t>RF125683</t>
  </si>
  <si>
    <t>WH125607</t>
  </si>
  <si>
    <t>DOE,we only do 30k cycling ,the factory teardown the samples confirm the RF cable is ok</t>
  </si>
  <si>
    <t>DVT1B</t>
  </si>
  <si>
    <t>WH125466</t>
  </si>
  <si>
    <t>DVT MXc21 Eval - Water Spray Test</t>
  </si>
  <si>
    <t>WH125465</t>
  </si>
  <si>
    <t>WH125464</t>
  </si>
  <si>
    <t>DVT1A</t>
  </si>
  <si>
    <t>RF125375</t>
  </si>
  <si>
    <t>RF125374</t>
  </si>
  <si>
    <t>RF125373</t>
  </si>
  <si>
    <t>2+3+4G RF Conformance testing</t>
  </si>
  <si>
    <t>RF125372</t>
  </si>
  <si>
    <t>2021/02/21</t>
  </si>
  <si>
    <t>WH125257</t>
  </si>
  <si>
    <t>WH125256</t>
  </si>
  <si>
    <t>2020/04/17</t>
  </si>
  <si>
    <t>DVT MDu66 - Product Bend Test</t>
  </si>
  <si>
    <t>WH125255</t>
  </si>
  <si>
    <t>DVT MDu39 - Lens Scratch Resistance (steel wool) and Hardness</t>
  </si>
  <si>
    <t>WH125254</t>
  </si>
  <si>
    <t>DVT MXc06 - Tumbler Test</t>
  </si>
  <si>
    <t>WH125253</t>
  </si>
  <si>
    <t>2020/06/02</t>
  </si>
  <si>
    <t>WH125252</t>
  </si>
  <si>
    <t>WH125251</t>
  </si>
  <si>
    <t>DVT MDu20 - Connector Insertion Cycling</t>
  </si>
  <si>
    <t>WH125250</t>
  </si>
  <si>
    <t>WH125249</t>
  </si>
  <si>
    <t>DVT EDu03 Eval - ESD Certification Test</t>
  </si>
  <si>
    <t>WH125248</t>
  </si>
  <si>
    <t>WH125246</t>
  </si>
  <si>
    <t>DVT EDu15 - Soft Short</t>
  </si>
  <si>
    <t>WH125245</t>
  </si>
  <si>
    <t>WH125244</t>
  </si>
  <si>
    <t>WH125243</t>
  </si>
  <si>
    <t>DVT EPr04 - Proximity Sensor Condensation Immunity Test</t>
  </si>
  <si>
    <t>WH125242</t>
  </si>
  <si>
    <t>DVT EDu16 - Charger Overvoltage test</t>
  </si>
  <si>
    <t>WH125241</t>
  </si>
  <si>
    <t>DVT EDu11 - Shorted Charger Test</t>
  </si>
  <si>
    <t>WH125240</t>
  </si>
  <si>
    <t>WH125239</t>
  </si>
  <si>
    <t>WH125238</t>
  </si>
  <si>
    <t>WH125237</t>
  </si>
  <si>
    <t>RF125236</t>
  </si>
  <si>
    <t>WH125131</t>
  </si>
  <si>
    <t>2020/06/08</t>
  </si>
  <si>
    <t>WH125123</t>
  </si>
  <si>
    <t>RF124960</t>
  </si>
  <si>
    <t>RF124872</t>
  </si>
  <si>
    <t>RF124834</t>
  </si>
  <si>
    <t>RF124833</t>
  </si>
  <si>
    <t>DVT MDu23 Eval - I/O Connector: Sideload Durability Cycling</t>
  </si>
  <si>
    <t>WH124713</t>
  </si>
  <si>
    <t>WH124712</t>
  </si>
  <si>
    <t>2020/04/23</t>
  </si>
  <si>
    <t>WH124086</t>
  </si>
  <si>
    <t>4/20/2021</t>
  </si>
  <si>
    <t>FANST2</t>
  </si>
  <si>
    <t>Debug Test</t>
  </si>
  <si>
    <t>XUCH8</t>
  </si>
  <si>
    <t>LUOYU2</t>
  </si>
  <si>
    <t>6/2/2021</t>
  </si>
  <si>
    <t>4/14/2021</t>
  </si>
  <si>
    <t>NIZHAO1</t>
  </si>
  <si>
    <t>XIONGCQ3</t>
  </si>
  <si>
    <t>5/30/2021</t>
  </si>
  <si>
    <t>5/28/2021</t>
  </si>
  <si>
    <t>WH137413</t>
  </si>
  <si>
    <t>Declined</t>
  </si>
  <si>
    <t>3/21/2021</t>
  </si>
  <si>
    <t>LUSL-Shilong Lu</t>
  </si>
  <si>
    <t>3/9/2021</t>
  </si>
  <si>
    <t>PENGWEI2</t>
  </si>
  <si>
    <t>Production Audit</t>
  </si>
  <si>
    <t>WENZM2-Zhiming Wen</t>
  </si>
  <si>
    <t>3/20/2021</t>
  </si>
  <si>
    <t>3/25/2021</t>
  </si>
  <si>
    <t>RF137122</t>
  </si>
  <si>
    <t>Terminated</t>
  </si>
  <si>
    <t>HUANGFU2</t>
  </si>
  <si>
    <t>2G3G4G+5G+WiFi TRP/TIS</t>
  </si>
  <si>
    <t>BAOZC1</t>
  </si>
  <si>
    <t>ZHANGPEI14</t>
  </si>
  <si>
    <t>RF137121</t>
  </si>
  <si>
    <t>3/3/2021</t>
  </si>
  <si>
    <t>DONGSHENG</t>
  </si>
  <si>
    <t>3/4/2021</t>
  </si>
  <si>
    <t>3/11/2021</t>
  </si>
  <si>
    <t>In-Progress</t>
  </si>
  <si>
    <t>2/23/2021</t>
  </si>
  <si>
    <t>PENGCH5</t>
  </si>
  <si>
    <t>3/1/2021</t>
  </si>
  <si>
    <t>WH136352</t>
  </si>
  <si>
    <t>2/7/2021</t>
  </si>
  <si>
    <t>1/26/2021</t>
  </si>
  <si>
    <t>WUXIAO3</t>
  </si>
  <si>
    <t>1/28/2021</t>
  </si>
  <si>
    <t>2/1/2021</t>
  </si>
  <si>
    <t>WH136117</t>
  </si>
  <si>
    <t>Mini-Loop Eval - ME Leg Only</t>
  </si>
  <si>
    <t>WH136083</t>
  </si>
  <si>
    <t>1/25/2021</t>
  </si>
  <si>
    <t>PENGSP1-shaopeng peng</t>
  </si>
  <si>
    <t>RF136006</t>
  </si>
  <si>
    <t>1/22/2021</t>
  </si>
  <si>
    <t>2/28/2021</t>
  </si>
  <si>
    <t>RF135997</t>
  </si>
  <si>
    <t>Pre-Test</t>
  </si>
  <si>
    <t>RF135990</t>
  </si>
  <si>
    <t>1/21/2021</t>
  </si>
  <si>
    <t>RF135973</t>
  </si>
  <si>
    <t>Head SAR+Body SAR</t>
  </si>
  <si>
    <t>1/10/2021</t>
  </si>
  <si>
    <t>1/15/2021</t>
  </si>
  <si>
    <t>1/5/2021</t>
  </si>
  <si>
    <t>LIWEI93</t>
  </si>
  <si>
    <t>11/24/2020</t>
  </si>
  <si>
    <t>11/30/2020</t>
  </si>
  <si>
    <t>11/22/2020</t>
  </si>
  <si>
    <t>11/21/2020</t>
  </si>
  <si>
    <t>ZHUHY11</t>
  </si>
  <si>
    <t>Validation Test</t>
  </si>
  <si>
    <t>11/26/2020</t>
  </si>
  <si>
    <t>11/25/2020</t>
  </si>
  <si>
    <t>WH133602</t>
  </si>
  <si>
    <t>11/19/2020</t>
  </si>
  <si>
    <t>WH133600</t>
  </si>
  <si>
    <t>TONGSK1-Shukui Tong</t>
  </si>
  <si>
    <t>Field Failure Resolution</t>
  </si>
  <si>
    <t>11/10/2020</t>
  </si>
  <si>
    <t>SUNYE3</t>
  </si>
  <si>
    <t>11/13/2020</t>
  </si>
  <si>
    <t>11/12/2020</t>
  </si>
  <si>
    <t>11/6/2020</t>
  </si>
  <si>
    <t>LIUPF12</t>
  </si>
  <si>
    <t>11/9/2020</t>
  </si>
  <si>
    <t>11/8/2020</t>
  </si>
  <si>
    <t>WH133030</t>
  </si>
  <si>
    <t>11/5/2020</t>
  </si>
  <si>
    <t>LVMJ1</t>
  </si>
  <si>
    <t>WH132904</t>
  </si>
  <si>
    <t>10/29/2020</t>
  </si>
  <si>
    <t>10/27/2020</t>
  </si>
  <si>
    <t>11/3/2020</t>
  </si>
  <si>
    <t>10/21/2020</t>
  </si>
  <si>
    <t>HUANGZL5</t>
  </si>
  <si>
    <t>10/19/2020</t>
  </si>
  <si>
    <t>10/20/2020</t>
  </si>
  <si>
    <t>10/13/2020</t>
  </si>
  <si>
    <t>10/14/2020</t>
  </si>
  <si>
    <t>10/15/2020</t>
  </si>
  <si>
    <t>10/30/2020</t>
  </si>
  <si>
    <t>XIAOYI2</t>
  </si>
  <si>
    <t>10/9/2020</t>
  </si>
  <si>
    <t>ZENGWP6</t>
  </si>
  <si>
    <t>10/23/2020</t>
  </si>
  <si>
    <t>9/29/2020</t>
  </si>
  <si>
    <t>ZHANGYQ1-Yongqing Zhang</t>
  </si>
  <si>
    <t>9/27/2020</t>
  </si>
  <si>
    <t>LIXH18</t>
  </si>
  <si>
    <t>9/30/2020</t>
  </si>
  <si>
    <t>9/26/2020</t>
  </si>
  <si>
    <t>WH131884</t>
  </si>
  <si>
    <t>9/24/2020</t>
  </si>
  <si>
    <t>LIZIHUA</t>
  </si>
  <si>
    <t>XUHANG</t>
  </si>
  <si>
    <t>9/21/2020</t>
  </si>
  <si>
    <t>WANGZHENLI</t>
  </si>
  <si>
    <t>9/25/2020</t>
  </si>
  <si>
    <t>9/19/2020</t>
  </si>
  <si>
    <t>9/20/2020</t>
  </si>
  <si>
    <t>9/17/2020</t>
  </si>
  <si>
    <t>WH131578</t>
  </si>
  <si>
    <t>WANGWX4</t>
  </si>
  <si>
    <t>WH131568</t>
  </si>
  <si>
    <t>9/16/2020</t>
  </si>
  <si>
    <t>WH131385</t>
  </si>
  <si>
    <t>9/14/2020</t>
  </si>
  <si>
    <t>9/13/2020</t>
  </si>
  <si>
    <t>9/18/2020</t>
  </si>
  <si>
    <t>LIKAI</t>
  </si>
  <si>
    <t>LVHUAN1-Huan Lv</t>
  </si>
  <si>
    <t>9/12/2020</t>
  </si>
  <si>
    <t>PENGCW1-changwei Peng</t>
  </si>
  <si>
    <t>WH131339</t>
  </si>
  <si>
    <t>9/11/2020</t>
  </si>
  <si>
    <t>HEXP2</t>
  </si>
  <si>
    <t>WH131278</t>
  </si>
  <si>
    <t>9/9/2020</t>
  </si>
  <si>
    <t>9/8/2020</t>
  </si>
  <si>
    <t>9/7/2020</t>
  </si>
  <si>
    <t>9/3/2020</t>
  </si>
  <si>
    <t>9/5/2020</t>
  </si>
  <si>
    <t>9/4/2020</t>
  </si>
  <si>
    <t>9/6/2020</t>
  </si>
  <si>
    <t>WH131089</t>
  </si>
  <si>
    <t>9/2/2020</t>
  </si>
  <si>
    <t>WH131051</t>
  </si>
  <si>
    <t>9/1/2020</t>
  </si>
  <si>
    <t>XUHENG3</t>
  </si>
  <si>
    <t>9/10/2020</t>
  </si>
  <si>
    <t>WH130954</t>
  </si>
  <si>
    <t>8/31/2020</t>
  </si>
  <si>
    <t>Competitive Reliability</t>
  </si>
  <si>
    <t>WH130953</t>
  </si>
  <si>
    <t>Design Change</t>
  </si>
  <si>
    <t>8/28/2020</t>
  </si>
  <si>
    <t>WH130895</t>
  </si>
  <si>
    <t>8/30/2020</t>
  </si>
  <si>
    <t>8/29/2020</t>
  </si>
  <si>
    <t>8/4/2020</t>
  </si>
  <si>
    <t>WH130803</t>
  </si>
  <si>
    <t>8/26/2020</t>
  </si>
  <si>
    <t>8/25/2020</t>
  </si>
  <si>
    <t>WH130717</t>
  </si>
  <si>
    <t>8/21/2020</t>
  </si>
  <si>
    <t>9/22/2020</t>
  </si>
  <si>
    <t>8/22/2020</t>
  </si>
  <si>
    <t>8/27/2020</t>
  </si>
  <si>
    <t>8/23/2020</t>
  </si>
  <si>
    <t>8/20/2020</t>
  </si>
  <si>
    <t>8/19/2020</t>
  </si>
  <si>
    <t>11/4/2020</t>
  </si>
  <si>
    <t>8/17/2020</t>
  </si>
  <si>
    <t>8/24/2020</t>
  </si>
  <si>
    <t>WUMY5</t>
  </si>
  <si>
    <t>8/18/2020</t>
  </si>
  <si>
    <t>WH130297</t>
  </si>
  <si>
    <t>8/16/2020</t>
  </si>
  <si>
    <t>WH130291</t>
  </si>
  <si>
    <t>8/14/2020</t>
  </si>
  <si>
    <t>XIONGXIAODAN</t>
  </si>
  <si>
    <t>8/15/2020</t>
  </si>
  <si>
    <t>WH130217</t>
  </si>
  <si>
    <t>8/13/2020</t>
  </si>
  <si>
    <t>WH130213</t>
  </si>
  <si>
    <t>WH130212</t>
  </si>
  <si>
    <t>WH130144</t>
  </si>
  <si>
    <t>DVT MDu04 C - Threaded Fasteners Torque Retention</t>
  </si>
  <si>
    <t>ZHANGBO</t>
  </si>
  <si>
    <t>LIYUAN1</t>
  </si>
  <si>
    <t>8/12/2020</t>
  </si>
  <si>
    <t>WH129909</t>
  </si>
  <si>
    <t>8/11/2020</t>
  </si>
  <si>
    <t>WH129908</t>
  </si>
  <si>
    <t>8/9/2020</t>
  </si>
  <si>
    <t>WANGJIN16</t>
  </si>
  <si>
    <t>8/7/2020</t>
  </si>
  <si>
    <t>ZHANGYUYU</t>
  </si>
  <si>
    <t>8/10/2020</t>
  </si>
  <si>
    <t>XIAOCH1</t>
  </si>
  <si>
    <t>WH129717</t>
  </si>
  <si>
    <t>8/6/2020</t>
  </si>
  <si>
    <t>New Product</t>
  </si>
  <si>
    <t>8/5/2020</t>
  </si>
  <si>
    <t>ZHANGZHENG16</t>
  </si>
  <si>
    <t>WH129641</t>
  </si>
  <si>
    <t>8/3/2020</t>
  </si>
  <si>
    <t>8/1/2020</t>
  </si>
  <si>
    <t>WH129561</t>
  </si>
  <si>
    <t>RF129514</t>
  </si>
  <si>
    <t>7/30/2020</t>
  </si>
  <si>
    <t>WH129487</t>
  </si>
  <si>
    <t>WH129486</t>
  </si>
  <si>
    <t>WH129485</t>
  </si>
  <si>
    <t>8/2/2020</t>
  </si>
  <si>
    <t>8/8/2020</t>
  </si>
  <si>
    <t>7/29/2020</t>
  </si>
  <si>
    <t>WUCH8-Caihong Wu</t>
  </si>
  <si>
    <t>7/31/2020</t>
  </si>
  <si>
    <t>7/28/2020</t>
  </si>
  <si>
    <t>ZHAOJK1</t>
  </si>
  <si>
    <t>7/27/2020</t>
  </si>
  <si>
    <t>7/26/2020</t>
  </si>
  <si>
    <t>RF129249</t>
  </si>
  <si>
    <t>7/24/2020</t>
  </si>
  <si>
    <t>7/25/2020</t>
  </si>
  <si>
    <t>7/23/2020</t>
  </si>
  <si>
    <t>7/22/2020</t>
  </si>
  <si>
    <t>7/17/2020</t>
  </si>
  <si>
    <t>7/18/2020</t>
  </si>
  <si>
    <t>7/19/2020</t>
  </si>
  <si>
    <t>7/16/2020</t>
  </si>
  <si>
    <t>7/15/2020</t>
  </si>
  <si>
    <t>7/20/2020</t>
  </si>
  <si>
    <t>7/14/2020</t>
  </si>
  <si>
    <t>NIESHUAI</t>
  </si>
  <si>
    <t>7/12/2020</t>
  </si>
  <si>
    <t>7/10/2020</t>
  </si>
  <si>
    <t>7/11/2020</t>
  </si>
  <si>
    <t>WH128597</t>
  </si>
  <si>
    <t>7/9/2020</t>
  </si>
  <si>
    <t>XIONGGQ1</t>
  </si>
  <si>
    <t>Reliability Program</t>
  </si>
  <si>
    <t>7/8/2020</t>
  </si>
  <si>
    <t>7/7/2020</t>
  </si>
  <si>
    <t>WH128493</t>
  </si>
  <si>
    <t>7/6/2020</t>
  </si>
  <si>
    <t>7/13/2020</t>
  </si>
  <si>
    <t>RF128453</t>
  </si>
  <si>
    <t>7/5/2020</t>
  </si>
  <si>
    <t>RF128452</t>
  </si>
  <si>
    <t>RF128451</t>
  </si>
  <si>
    <t>7/3/2020</t>
  </si>
  <si>
    <t>WANGHUAN1</t>
  </si>
  <si>
    <t>7/4/2020</t>
  </si>
  <si>
    <t>6/30/2020</t>
  </si>
  <si>
    <t>7/2/2020</t>
  </si>
  <si>
    <t>MEIFENG1</t>
  </si>
  <si>
    <t>YANLI5</t>
  </si>
  <si>
    <t>WH128298</t>
  </si>
  <si>
    <t>7/1/2020</t>
  </si>
  <si>
    <t>WH128294</t>
  </si>
  <si>
    <t>WH128284</t>
  </si>
  <si>
    <t>TMO 6538 Impact Stress</t>
  </si>
  <si>
    <t>6/29/2020</t>
  </si>
  <si>
    <t>WH128210</t>
  </si>
  <si>
    <t>6/28/2020</t>
  </si>
  <si>
    <t>6/27/2020</t>
  </si>
  <si>
    <t>WH128082</t>
  </si>
  <si>
    <t>6/26/2020</t>
  </si>
  <si>
    <t>LILYZ</t>
  </si>
  <si>
    <t>WH128070</t>
  </si>
  <si>
    <t>WH128069</t>
  </si>
  <si>
    <t>6/23/2020</t>
  </si>
  <si>
    <t>Wintech</t>
  </si>
  <si>
    <t>6/25/2020</t>
  </si>
  <si>
    <t>6/24/2020</t>
  </si>
  <si>
    <t>6/22/2020</t>
  </si>
  <si>
    <t>6/21/2020</t>
  </si>
  <si>
    <t>6/20/2020</t>
  </si>
  <si>
    <t>6/19/2020</t>
  </si>
  <si>
    <t>WANGXL55</t>
  </si>
  <si>
    <t>WH127795</t>
  </si>
  <si>
    <t>6/17/2020</t>
  </si>
  <si>
    <t>6/16/2020</t>
  </si>
  <si>
    <t>6/18/2020</t>
  </si>
  <si>
    <t>WH127714</t>
  </si>
  <si>
    <t>WH127713</t>
  </si>
  <si>
    <t>TMO 6509 Thermal Rate of Change</t>
  </si>
  <si>
    <t>WH127712</t>
  </si>
  <si>
    <t>TMO 6526 Covers</t>
  </si>
  <si>
    <t>WH127711</t>
  </si>
  <si>
    <t>TMO 6528 Connector Durability</t>
  </si>
  <si>
    <t>WH127710</t>
  </si>
  <si>
    <t>TMO 6510 Transportation Induced Shock and Vibration Stresses</t>
  </si>
  <si>
    <t>WH127709</t>
  </si>
  <si>
    <t>WH127708</t>
  </si>
  <si>
    <t>TMO 6543 Particle Ingress</t>
  </si>
  <si>
    <t>WH127707</t>
  </si>
  <si>
    <t>WH127706</t>
  </si>
  <si>
    <t>TMO 6515 Relative Humidity</t>
  </si>
  <si>
    <t>WH127705</t>
  </si>
  <si>
    <t>TMO 6539 Point Compression</t>
  </si>
  <si>
    <t>WH127704</t>
  </si>
  <si>
    <t>TMO 6516 Low Temperature Nature Stresses</t>
  </si>
  <si>
    <t>WH127703</t>
  </si>
  <si>
    <t>TMO 6517 High Temperature Natural Stresses</t>
  </si>
  <si>
    <t>WH127702</t>
  </si>
  <si>
    <t>WH127698</t>
  </si>
  <si>
    <t>WH127693</t>
  </si>
  <si>
    <t>TMO 6541 Connector Torque Stress</t>
  </si>
  <si>
    <t>WH127692</t>
  </si>
  <si>
    <t>WH127690</t>
  </si>
  <si>
    <t>TMO 6545 Liquid Ingress IPX2</t>
  </si>
  <si>
    <t>WH127689</t>
  </si>
  <si>
    <t>WH127687</t>
  </si>
  <si>
    <t>ATT 15 Rough Surface Drop</t>
  </si>
  <si>
    <t>CHENKAI</t>
  </si>
  <si>
    <t>WH127672</t>
  </si>
  <si>
    <t>ATT 21 Chemical Exposure Test</t>
  </si>
  <si>
    <t>6/15/2020</t>
  </si>
  <si>
    <t>SHENTAO2</t>
  </si>
  <si>
    <t>WH127609</t>
  </si>
  <si>
    <t>6/13/2020</t>
  </si>
  <si>
    <t>WANGZY79</t>
  </si>
  <si>
    <t>6/10/2020</t>
  </si>
  <si>
    <t>6/9/2020</t>
  </si>
  <si>
    <t>6/7/2020</t>
  </si>
  <si>
    <t>LIURC7</t>
  </si>
  <si>
    <t>SUNCHUAN3</t>
  </si>
  <si>
    <t>11/7/2020</t>
  </si>
  <si>
    <t>6/6/2020</t>
  </si>
  <si>
    <t>11/16/2020</t>
  </si>
  <si>
    <t>2/20/2021</t>
  </si>
  <si>
    <t>6/5/2020</t>
  </si>
  <si>
    <t>6/11/2020</t>
  </si>
  <si>
    <t>6/3/2020</t>
  </si>
  <si>
    <t>6/2/2020</t>
  </si>
  <si>
    <t>6/4/2020</t>
  </si>
  <si>
    <t>WH127178</t>
  </si>
  <si>
    <t>WH127139</t>
  </si>
  <si>
    <t>6/1/2020</t>
  </si>
  <si>
    <t>5/30/2020</t>
  </si>
  <si>
    <t>XUCH</t>
  </si>
  <si>
    <t>LUOYU1</t>
  </si>
  <si>
    <t>6/12/2020</t>
  </si>
  <si>
    <t>5/29/2020</t>
  </si>
  <si>
    <t>6/14/2020</t>
  </si>
  <si>
    <t>5/31/2020</t>
  </si>
  <si>
    <t>WANGWU2</t>
  </si>
  <si>
    <t>HUXINGHAI</t>
  </si>
  <si>
    <t>CHENYI</t>
  </si>
  <si>
    <t>5/27/2020</t>
  </si>
  <si>
    <t>5/26/2020</t>
  </si>
  <si>
    <t>ZHANGCF</t>
  </si>
  <si>
    <t>LIWEI</t>
  </si>
  <si>
    <t>5/25/2020</t>
  </si>
  <si>
    <t>RF126854</t>
  </si>
  <si>
    <t>5/24/2020</t>
  </si>
  <si>
    <t>5/23/2020</t>
  </si>
  <si>
    <t>5/21/2020</t>
  </si>
  <si>
    <t>5/22/2020</t>
  </si>
  <si>
    <t>5/18/2020</t>
  </si>
  <si>
    <t>5/19/2020</t>
  </si>
  <si>
    <t>5/20/2020</t>
  </si>
  <si>
    <t>5/15/2020</t>
  </si>
  <si>
    <t>5/16/2020</t>
  </si>
  <si>
    <t>5/14/2020</t>
  </si>
  <si>
    <t>5/13/2020</t>
  </si>
  <si>
    <t>5/12/2020</t>
  </si>
  <si>
    <t>5/17/2020</t>
  </si>
  <si>
    <t>5/11/2020</t>
  </si>
  <si>
    <t>11/15/2020</t>
  </si>
  <si>
    <t>11/11/2020</t>
  </si>
  <si>
    <t>RF126329</t>
  </si>
  <si>
    <t>5/10/2020</t>
  </si>
  <si>
    <t>5/9/2020</t>
  </si>
  <si>
    <t>5/8/2020</t>
  </si>
  <si>
    <t>GUANGZ1</t>
  </si>
  <si>
    <t>5/7/2020</t>
  </si>
  <si>
    <t>5/5/2020</t>
  </si>
  <si>
    <t>5/6/2020</t>
  </si>
  <si>
    <t>WH126095</t>
  </si>
  <si>
    <t>5/3/2020</t>
  </si>
  <si>
    <t>DVT MDu52 Eval - Environmental / Chemical Susceptibility Of Consumer Products</t>
  </si>
  <si>
    <t>WH126094</t>
  </si>
  <si>
    <t>DVT MDu58 - Purse Test</t>
  </si>
  <si>
    <t>WH126092</t>
  </si>
  <si>
    <t>WH126091</t>
  </si>
  <si>
    <t>5/4/2020</t>
  </si>
  <si>
    <t>HUANGKAIKAI</t>
  </si>
  <si>
    <t>SUNLEI21</t>
  </si>
  <si>
    <t>5/2/2020</t>
  </si>
  <si>
    <t>CHENYQ2</t>
  </si>
  <si>
    <t>4/29/2020</t>
  </si>
  <si>
    <t>4/30/2020</t>
  </si>
  <si>
    <t>4/28/2020</t>
  </si>
  <si>
    <t>4/27/2020</t>
  </si>
  <si>
    <t>4/24/2020</t>
  </si>
  <si>
    <t>4/21/2020</t>
  </si>
  <si>
    <t>4/26/2020</t>
  </si>
  <si>
    <t>4/16/2020</t>
  </si>
  <si>
    <t>4/17/2020</t>
  </si>
  <si>
    <t>4/20/2020</t>
  </si>
  <si>
    <t>4/13/2020</t>
  </si>
  <si>
    <t>2/21/2021</t>
  </si>
  <si>
    <t>WH125339</t>
  </si>
  <si>
    <t>4/12/2020</t>
  </si>
  <si>
    <t>4/10/2020</t>
  </si>
  <si>
    <t>4/15/2020</t>
  </si>
  <si>
    <t>4/14/2020</t>
  </si>
  <si>
    <t>4/22/2020</t>
  </si>
  <si>
    <t>4/19/2020</t>
  </si>
  <si>
    <t>4/23/2020</t>
  </si>
  <si>
    <t>MAYIBO</t>
  </si>
  <si>
    <t>4/18/2020</t>
  </si>
  <si>
    <t>4/25/2020</t>
  </si>
  <si>
    <t>4/7/2020</t>
  </si>
  <si>
    <t>6/8/2020</t>
  </si>
  <si>
    <t>4/6/2020</t>
  </si>
  <si>
    <t>3/31/2020</t>
  </si>
  <si>
    <t>3/30/2020</t>
  </si>
  <si>
    <t>RF124848</t>
  </si>
  <si>
    <t>3/27/2020</t>
  </si>
  <si>
    <t>3/26/2020</t>
  </si>
  <si>
    <t>4/1/2020</t>
  </si>
  <si>
    <t>3/22/2020</t>
  </si>
  <si>
    <t>3/23/2020</t>
  </si>
  <si>
    <t>1/19/2020</t>
  </si>
  <si>
    <t>1/20/2020</t>
  </si>
  <si>
    <t>1/31/2020</t>
  </si>
  <si>
    <t>Test Short</t>
  </si>
  <si>
    <t>Groups</t>
  </si>
  <si>
    <t>Group Size</t>
  </si>
  <si>
    <t>Sample Size</t>
  </si>
  <si>
    <t>ALT Number</t>
  </si>
  <si>
    <t>将分组信息拷贝到B:D列</t>
  </si>
  <si>
    <t>A</t>
  </si>
  <si>
    <t>WH140598</t>
  </si>
  <si>
    <t>B</t>
  </si>
  <si>
    <t>不良品</t>
  </si>
  <si>
    <t>C</t>
  </si>
  <si>
    <t>打孔样机</t>
  </si>
  <si>
    <t>D</t>
  </si>
  <si>
    <t>DVT MDu56 - Abrasion Resistance Test (External Phone Surfaces)</t>
  </si>
  <si>
    <t>E</t>
  </si>
  <si>
    <t>F</t>
  </si>
  <si>
    <t>DVT EDu03 - ESD Certification Test</t>
  </si>
  <si>
    <t>G</t>
  </si>
  <si>
    <t>H</t>
  </si>
  <si>
    <t>Formal</t>
  </si>
  <si>
    <t>WH140910</t>
  </si>
  <si>
    <t>Submitted</t>
  </si>
  <si>
    <t>A49,PVT 2nd Source Formal</t>
  </si>
  <si>
    <t>将测试申请单信息拷贝到A:H列</t>
  </si>
  <si>
    <t>WH140911</t>
  </si>
  <si>
    <t>WH140912</t>
  </si>
  <si>
    <t>WH140931</t>
  </si>
  <si>
    <t>WH140932</t>
  </si>
  <si>
    <t>A49,PVT 2nd Source Formal, with rf holes</t>
  </si>
  <si>
    <t>WH140933</t>
  </si>
  <si>
    <t>WH140934</t>
  </si>
  <si>
    <t>WH140935</t>
  </si>
  <si>
    <t>WH140936</t>
  </si>
  <si>
    <t>WH140937</t>
  </si>
  <si>
    <t>WH140938</t>
  </si>
  <si>
    <t>WH140939</t>
  </si>
  <si>
    <t>WH140940</t>
  </si>
  <si>
    <t>Berlin21 Sub6 DS [tbc] (RDQ)</t>
  </si>
  <si>
    <t>Eval</t>
  </si>
  <si>
    <t>(全部)</t>
  </si>
  <si>
    <t>求和项:Qty.</t>
  </si>
  <si>
    <t>WH136970</t>
  </si>
  <si>
    <t>(空白)</t>
  </si>
  <si>
    <t>WH136973</t>
  </si>
  <si>
    <t>DVT MDu51 Eval - Impact Exterior Surfaces</t>
  </si>
  <si>
    <t>WH136979</t>
  </si>
  <si>
    <t>DVT MDu66 Eval - Product Bend Test</t>
  </si>
  <si>
    <t>WH136974</t>
  </si>
  <si>
    <t>WH136975</t>
  </si>
  <si>
    <t>WH136980</t>
  </si>
  <si>
    <t>WH136981</t>
  </si>
  <si>
    <t>WH136969</t>
  </si>
  <si>
    <t>DVT MXc03 Eval - Power Cuts Impact Test</t>
  </si>
  <si>
    <t>WH136976</t>
  </si>
  <si>
    <t>DVT MDu11 Eval - Contact Height Post - Environmental</t>
  </si>
  <si>
    <t>WH136971</t>
  </si>
  <si>
    <t>DVT MDu14 Eval - Particulate Motility Test (PMT)</t>
  </si>
  <si>
    <t>WH136977</t>
  </si>
  <si>
    <t>DVT MDu31 Eval - Side Button Tactile and Life Cycling</t>
  </si>
  <si>
    <t>WH136978</t>
  </si>
  <si>
    <t>DVT MDu20 Eval - Connector Insertion Cycling</t>
  </si>
  <si>
    <t>WH136972</t>
  </si>
  <si>
    <t>总计</t>
  </si>
  <si>
    <t>No.</t>
  </si>
  <si>
    <t>DVT Tests</t>
  </si>
  <si>
    <t>Grouping</t>
  </si>
  <si>
    <t>Goup Samples</t>
  </si>
  <si>
    <t>Individual Samples</t>
  </si>
  <si>
    <t>Days</t>
  </si>
  <si>
    <t>Sample Required</t>
  </si>
  <si>
    <t xml:space="preserve"> Threaded Fasteners Torque Retention</t>
  </si>
  <si>
    <t>MDu04 - Threaded Fasteners Torque Retention</t>
  </si>
  <si>
    <t xml:space="preserve"> Contact Height Post - Environmental</t>
  </si>
  <si>
    <t>MDu11 - Contact Height Post - Environmental</t>
  </si>
  <si>
    <t xml:space="preserve"> SIM&amp;Memory Card Insertion and Removal and Robustness</t>
  </si>
  <si>
    <t>MDu45 - SIM&amp;Memory Card Insertion and Removal and Robustness</t>
  </si>
  <si>
    <t xml:space="preserve"> Memory Card Compatibility Testing</t>
  </si>
  <si>
    <t>EPr03 - Memory Card Compatibility Testing</t>
  </si>
  <si>
    <t xml:space="preserve"> Impact Exterior Surfaces</t>
  </si>
  <si>
    <t>MDu51 - Impact Exterior Surfaces</t>
  </si>
  <si>
    <t xml:space="preserve"> Vibrator Strength</t>
  </si>
  <si>
    <t>MDu55 - Vibrator Strength</t>
  </si>
  <si>
    <t xml:space="preserve"> Connector Plug Drop and Load Robustness</t>
  </si>
  <si>
    <t>MDu28 - Connector Plug Drop and Load Robustness</t>
  </si>
  <si>
    <t xml:space="preserve"> Particulate Motility Test (PMT)</t>
  </si>
  <si>
    <t>MDu14 - Particulate Motility Test (PMT)</t>
  </si>
  <si>
    <t xml:space="preserve"> SiC Scratch Drop Test</t>
  </si>
  <si>
    <t>MDu78 - SiC Scratch Drop Test</t>
  </si>
  <si>
    <t xml:space="preserve"> Environmental / Chemical Susceptibility Of Consumer Products</t>
  </si>
  <si>
    <t>MDu52 - Environmental / Chemical Susceptibility Of Consumer Products</t>
  </si>
  <si>
    <t xml:space="preserve"> Infra Red Imaging</t>
  </si>
  <si>
    <t>MDu30 - Infra Red Imaging</t>
  </si>
  <si>
    <t xml:space="preserve"> Lens Scratch Resistance (steel wool) and Hardness</t>
  </si>
  <si>
    <t>MDu39 - Lens Scratch Resistance (steel wool) and Hardness</t>
  </si>
  <si>
    <t xml:space="preserve"> Connector insertion cycling</t>
  </si>
  <si>
    <t>MDu20 - Connector insertion cycling</t>
  </si>
  <si>
    <t xml:space="preserve"> Keypad and Button Robustness</t>
  </si>
  <si>
    <t>MDu33 - Keypad and Button Robustness</t>
  </si>
  <si>
    <t xml:space="preserve"> SIM Connector Abuse and Misuse Testing</t>
  </si>
  <si>
    <t>MDu70 - SIM Connector Abuse and Misuse Testing</t>
  </si>
  <si>
    <t>I</t>
  </si>
  <si>
    <t>ouch Screen / Back Cover Adhesion Test</t>
  </si>
  <si>
    <t>MDu74-Touch Screen / Back Cover Adhesion Test</t>
  </si>
  <si>
    <t xml:space="preserve"> I/O Connector: Sideload Durability Cycling</t>
  </si>
  <si>
    <t>MDu23 - I/O Connector: Sideload Durability Cycling</t>
  </si>
  <si>
    <t xml:space="preserve"> Side Button Tactile and Life Cycling</t>
  </si>
  <si>
    <t>MDu31 - Side Button Tactile and Life Cycling</t>
  </si>
  <si>
    <t>J</t>
  </si>
  <si>
    <t xml:space="preserve"> Concentrated Pressure Fault – Pogo Test</t>
  </si>
  <si>
    <t>MDu72 - Concentrated Pressure Fault – Pogo Test</t>
  </si>
  <si>
    <t xml:space="preserve"> Magnetic Particle (Ingress)</t>
  </si>
  <si>
    <t>MDu49 - Magnetic Particle (Ingress)</t>
  </si>
  <si>
    <t xml:space="preserve"> I/O Connector: Rotational Electrical Continuity</t>
  </si>
  <si>
    <t>MDu21 - I/O Connector: Rotational Electrical Continuity</t>
  </si>
  <si>
    <t>K</t>
  </si>
  <si>
    <t xml:space="preserve"> Shield and PC Board robustness</t>
  </si>
  <si>
    <t>MDu44 - Shield and PC Board robustness</t>
  </si>
  <si>
    <t xml:space="preserve"> Water Intrusion (Red Dye) Test</t>
  </si>
  <si>
    <t>MDu53 - Water Intrusion (Red Dye) Test</t>
  </si>
  <si>
    <t>L</t>
  </si>
  <si>
    <t xml:space="preserve"> Solar Radiation for PQE Certification</t>
  </si>
  <si>
    <t>MXc15 - Solar Radiation for PQE Certification</t>
  </si>
  <si>
    <t>M</t>
  </si>
  <si>
    <t xml:space="preserve"> Product Bend Test</t>
  </si>
  <si>
    <t>MDu66 - Product Bend Test</t>
  </si>
  <si>
    <t xml:space="preserve"> Abrasion Resistance Test (External Phone Surfaces)</t>
  </si>
  <si>
    <t>MDu56 - Abrasion Resistance Test (External Phone Surfaces)</t>
  </si>
  <si>
    <t xml:space="preserve"> External Lens Scratch Resistance Test (Phone Level)</t>
  </si>
  <si>
    <t>MDu42 - External Lens Scratch Resistance Test (Phone Level)</t>
  </si>
  <si>
    <t xml:space="preserve"> Vibration Abrasion Test</t>
  </si>
  <si>
    <t>MDu77 - Vibration Abrasion Test</t>
  </si>
  <si>
    <t>O</t>
  </si>
  <si>
    <t xml:space="preserve"> Anti-Smudge (AS) Coating Abrasion Resistance</t>
  </si>
  <si>
    <t>MDu76 - Anti-Smudge (AS) Coating Abrasion Resistance</t>
  </si>
  <si>
    <t>P</t>
  </si>
  <si>
    <t xml:space="preserve"> Power Cuts Impact Test</t>
  </si>
  <si>
    <t>MXc03 - Power Cuts Impact Test</t>
  </si>
  <si>
    <t xml:space="preserve"> First Surface Finishes - Paint Adhesion</t>
  </si>
  <si>
    <t>MDu59 - First Surface Finishes - Paint Adhesion</t>
  </si>
  <si>
    <t xml:space="preserve"> Water Ingress Protection IPX2</t>
  </si>
  <si>
    <t>MXc22 - Water Ingress Protection IPX2</t>
  </si>
  <si>
    <t>Q</t>
  </si>
  <si>
    <t xml:space="preserve"> Water Ingress: Drip Test</t>
  </si>
  <si>
    <t>MXc05 - Water Ingress: Drip Test</t>
  </si>
  <si>
    <t xml:space="preserve"> Water Spray Test</t>
  </si>
  <si>
    <t>MXc21 - Water Spray Test</t>
  </si>
  <si>
    <t xml:space="preserve"> Tumbler Test</t>
  </si>
  <si>
    <t>MXc06 - Tumbler Test</t>
  </si>
  <si>
    <t>R</t>
  </si>
  <si>
    <t xml:space="preserve"> Salt Spray (mobiles)</t>
  </si>
  <si>
    <t>MXc04 - Salt Spray (mobiles)</t>
  </si>
  <si>
    <t>S</t>
  </si>
  <si>
    <t xml:space="preserve"> ESD Test</t>
  </si>
  <si>
    <t>EDu03 - ESD Test</t>
  </si>
  <si>
    <t>T</t>
  </si>
  <si>
    <t xml:space="preserve"> Performance during Humidity</t>
  </si>
  <si>
    <t>EDu01 - Performance during Humidity</t>
  </si>
  <si>
    <t>U</t>
  </si>
  <si>
    <t xml:space="preserve"> Battery Performance at Various Temperature</t>
  </si>
  <si>
    <t>EDu13 - Battery Performance at Various Temperature</t>
  </si>
  <si>
    <t>V</t>
  </si>
  <si>
    <t xml:space="preserve"> Soft Shorts</t>
  </si>
  <si>
    <t>EDu15 - Soft Shorts</t>
  </si>
  <si>
    <t xml:space="preserve"> RAM Integrity Test</t>
  </si>
  <si>
    <t>EDu09 - RAM Integrity Test</t>
  </si>
  <si>
    <t>W</t>
  </si>
  <si>
    <t xml:space="preserve"> eMMC Memory Durability test</t>
  </si>
  <si>
    <t>EDu12 - eMMC Memory Durability test</t>
  </si>
  <si>
    <t xml:space="preserve"> Proximity Sensor Condensation Immunity</t>
  </si>
  <si>
    <t>EPr04 - Proximity Sensor Condensation Immunity</t>
  </si>
  <si>
    <t xml:space="preserve"> Charger Over Voltage Test</t>
  </si>
  <si>
    <t>EDu16 - Charger Over Voltage Test</t>
  </si>
  <si>
    <t xml:space="preserve"> Surge test</t>
  </si>
  <si>
    <t>EDu14 - Surge test</t>
  </si>
  <si>
    <t xml:space="preserve"> Shorted Charger Test</t>
  </si>
  <si>
    <t>EDu11 - Shorted Charger Test</t>
  </si>
  <si>
    <t xml:space="preserve"> Product Water Resistance Test</t>
  </si>
  <si>
    <t>MDu79 - Product Water Resistance Test</t>
  </si>
  <si>
    <t>X</t>
  </si>
  <si>
    <t xml:space="preserve"> Liquid Detection Label (LDL) Effectiveness</t>
  </si>
  <si>
    <t>MXc19 - Liquid Detection Label (LDL) Effectiveness</t>
  </si>
  <si>
    <t xml:space="preserve"> RF Radiation Test</t>
  </si>
  <si>
    <t>EDu06 - RF Radiation Test</t>
  </si>
  <si>
    <t>Number of Test</t>
  </si>
  <si>
    <t>Sample Qty.</t>
  </si>
  <si>
    <t>Version</t>
  </si>
  <si>
    <t>Change Notes</t>
  </si>
  <si>
    <t>Changed by</t>
  </si>
  <si>
    <t>Date</t>
  </si>
  <si>
    <t>V0.1</t>
  </si>
  <si>
    <t>Initial</t>
  </si>
  <si>
    <t>Jianhua He</t>
  </si>
  <si>
    <t>V0.2</t>
  </si>
  <si>
    <t>Test case description updated</t>
  </si>
  <si>
    <t>V0.3</t>
  </si>
  <si>
    <t>combine TMO &amp; ATT</t>
  </si>
  <si>
    <t>V0.4</t>
  </si>
  <si>
    <t>DVT Assessment added</t>
  </si>
  <si>
    <t>V0.5</t>
  </si>
  <si>
    <t>Webdriver replaced by requests</t>
  </si>
  <si>
    <t>V0.6</t>
  </si>
  <si>
    <t>bugfixed</t>
  </si>
  <si>
    <t>V0.7</t>
  </si>
  <si>
    <t>ORT Test included</t>
  </si>
  <si>
    <t>Description</t>
  </si>
  <si>
    <t>Post SA</t>
  </si>
  <si>
    <t>ALT Eval</t>
  </si>
  <si>
    <t>CALT</t>
  </si>
  <si>
    <t>C-DVT</t>
  </si>
  <si>
    <t>DVT EDu08</t>
  </si>
  <si>
    <t>Temp profile of Components within Product</t>
  </si>
  <si>
    <t>A22</t>
  </si>
  <si>
    <t>DVT EPr05</t>
  </si>
  <si>
    <t>OTA Consistency Test</t>
  </si>
  <si>
    <t>DVT MDu05</t>
  </si>
  <si>
    <t>Battery Contact Life Cycling</t>
  </si>
  <si>
    <t>DVT MDu07</t>
  </si>
  <si>
    <t>Battery Bounce</t>
  </si>
  <si>
    <t>Environmental</t>
  </si>
  <si>
    <t>DVT MDu13</t>
  </si>
  <si>
    <t>Touch Screen Stress Test</t>
  </si>
  <si>
    <t>DVT MDu16</t>
  </si>
  <si>
    <t>Flip or Slider Hyper extension Test</t>
  </si>
  <si>
    <t>DVT MDu17</t>
  </si>
  <si>
    <t>Flip System / Button Life Cycling</t>
  </si>
  <si>
    <t>DVT MDu18</t>
  </si>
  <si>
    <t>Flip/Slider Robustness</t>
  </si>
  <si>
    <t>DVT MDu19</t>
  </si>
  <si>
    <t>Postponable Front and Rear Housings</t>
  </si>
  <si>
    <t>DVT MDu34</t>
  </si>
  <si>
    <t>Flip system / Button Tactility</t>
  </si>
  <si>
    <t>DVT MDu41</t>
  </si>
  <si>
    <t>Flip/Key interaction</t>
  </si>
  <si>
    <t>DVT MDu47</t>
  </si>
  <si>
    <t>SIM Bounce Test</t>
  </si>
  <si>
    <t>DVT MDu54</t>
  </si>
  <si>
    <t>Pressure Fault Test</t>
  </si>
  <si>
    <t>DVT MDu58</t>
  </si>
  <si>
    <t>Purse Test</t>
  </si>
  <si>
    <t>Paint Adhesion</t>
  </si>
  <si>
    <t>DVT MDu64</t>
  </si>
  <si>
    <t>Flip Cycling Test</t>
  </si>
  <si>
    <t>DVT MDu73</t>
  </si>
  <si>
    <t>Dust Testing for Consumer and Mobile Devices</t>
  </si>
  <si>
    <t>DVT MDu75</t>
  </si>
  <si>
    <t>Packaging Durability</t>
  </si>
  <si>
    <t>DVT MDu80</t>
  </si>
  <si>
    <t>Stylus Robustness Test</t>
  </si>
  <si>
    <t>DVT MDu81</t>
  </si>
  <si>
    <t>Mic Sealing Test</t>
  </si>
  <si>
    <t>DVT MEr01</t>
  </si>
  <si>
    <t>Flip Yaw Stability Test</t>
  </si>
  <si>
    <t>DVT MEr04</t>
  </si>
  <si>
    <t>Ergonomic Tests</t>
  </si>
  <si>
    <t>DVT MEr08</t>
  </si>
  <si>
    <t>Display Wetting and Bloom</t>
  </si>
  <si>
    <t>DVT MXc20</t>
  </si>
  <si>
    <t>Water Submersion Test</t>
  </si>
  <si>
    <t>Pen--Abrasion</t>
  </si>
  <si>
    <t>Pen--Abrasion Resistance for Tip of Pen</t>
  </si>
  <si>
    <t>Pen--Bending</t>
  </si>
  <si>
    <t>Pen--Bending Test</t>
  </si>
  <si>
    <t>Pen--Free Drop</t>
  </si>
  <si>
    <t>Pen--Free Drop Test</t>
  </si>
  <si>
    <t>Pen--Insertion</t>
  </si>
  <si>
    <t>Pen--Insertion Cycling Test</t>
  </si>
  <si>
    <t>Pen--Pressed</t>
  </si>
  <si>
    <t>Pen--Pressed Test for Tip of Pen</t>
  </si>
  <si>
    <t>Pen--Push-button</t>
  </si>
  <si>
    <t>Pen--Push-button Cycling Test</t>
  </si>
  <si>
    <t>Pen--Robustness</t>
  </si>
  <si>
    <t>Pen--Robustness Test</t>
  </si>
  <si>
    <t>Popup Abuse</t>
  </si>
  <si>
    <t>Popup Life</t>
  </si>
  <si>
    <t>Popup Life Cycling</t>
  </si>
  <si>
    <t>Popup Transverse</t>
  </si>
  <si>
    <t>Popup Transverse Loading</t>
  </si>
  <si>
    <t>Speaker Aging</t>
  </si>
  <si>
    <t>Speaker Aging Test</t>
  </si>
  <si>
    <t xml:space="preserve">Temperature &amp; Humidity Test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</si>
</sst>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/yy;@"/>
    <numFmt numFmtId="177" formatCode="mm/dd/yyyy"/>
  </numFmts>
  <fonts count="35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u/>
      <sz val="11"/>
      <color theme="10"/>
      <name val="等线"/>
      <family val="3"/>
      <charset val="134"/>
      <scheme val="minor"/>
    </font>
    <font>
      <sz val="8.25"/>
      <color rgb="FF333366"/>
      <name val="Arial"/>
      <family val="2"/>
    </font>
    <font>
      <sz val="8.5"/>
      <color rgb="FF333366"/>
      <name val="Arial"/>
      <family val="2"/>
    </font>
    <font>
      <sz val="8.5"/>
      <color theme="1"/>
      <name val="等线"/>
      <family val="3"/>
      <charset val="134"/>
      <scheme val="minor"/>
    </font>
    <font>
      <b/>
      <sz val="8.5"/>
      <color rgb="FF333366"/>
      <name val="Arial"/>
      <family val="2"/>
    </font>
    <font>
      <sz val="8.5"/>
      <color theme="1"/>
      <name val="Arial"/>
      <family val="2"/>
    </font>
    <font>
      <b/>
      <sz val="8.5"/>
      <color rgb="FFFFFFFF"/>
      <name val="Arial"/>
      <family val="2"/>
    </font>
    <font>
      <sz val="8"/>
      <color theme="1"/>
      <name val="Arial"/>
      <family val="2"/>
    </font>
    <font>
      <b/>
      <sz val="8.5"/>
      <color theme="1"/>
      <name val="等线"/>
      <family val="3"/>
      <charset val="134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等线"/>
      <family val="3"/>
      <charset val="134"/>
      <scheme val="minor"/>
    </font>
    <font>
      <sz val="8.5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8.5"/>
      <color theme="0"/>
      <name val="Arial"/>
      <family val="2"/>
    </font>
    <font>
      <sz val="8.5"/>
      <name val="Arial"/>
      <family val="2"/>
    </font>
    <font>
      <b/>
      <sz val="9"/>
      <color rgb="FF993300"/>
      <name val="Arial"/>
      <family val="2"/>
    </font>
    <font>
      <b/>
      <sz val="8"/>
      <color rgb="FFC00000"/>
      <name val="Arial"/>
      <family val="2"/>
    </font>
    <font>
      <b/>
      <sz val="8.5"/>
      <color theme="5"/>
      <name val="Arial"/>
      <family val="2"/>
    </font>
    <font>
      <b/>
      <sz val="8.5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1"/>
      <name val="Arial"/>
      <family val="2"/>
      <charset val="134"/>
    </font>
    <font>
      <sz val="8"/>
      <color rgb="FF000000"/>
      <name val="Arial"/>
      <family val="2"/>
    </font>
    <font>
      <b/>
      <sz val="8.5"/>
      <color rgb="FFC00000"/>
      <name val="宋体"/>
      <family val="3"/>
      <charset val="134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9"/>
      <name val="等线"/>
      <family val="3"/>
      <charset val="134"/>
      <scheme val="minor"/>
    </font>
    <font>
      <sz val="9"/>
      <color rgb="FF000000"/>
      <name val="Arial"/>
      <family val="2"/>
    </font>
    <font>
      <sz val="8"/>
      <color theme="1"/>
      <name val="宋体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EFE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</cellStyleXfs>
  <cellXfs count="195">
    <xf numFmtId="0" fontId="0" fillId="0" borderId="0" xfId="0" applyAlignment="1">
      <alignment vertical="center"/>
    </xf>
    <xf numFmtId="0" fontId="13" fillId="0" borderId="0" xfId="0" applyFont="1" applyAlignment="1">
      <alignment vertical="center"/>
    </xf>
    <xf numFmtId="0" fontId="14" fillId="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14" fontId="14" fillId="0" borderId="1" xfId="0" applyNumberFormat="1" applyFont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9" fillId="8" borderId="4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 wrapText="1"/>
    </xf>
    <xf numFmtId="0" fontId="8" fillId="3" borderId="0" xfId="0" applyFont="1" applyFill="1" applyAlignment="1">
      <alignment horizontal="left" vertical="center" wrapText="1"/>
    </xf>
    <xf numFmtId="0" fontId="6" fillId="3" borderId="12" xfId="0" applyFont="1" applyFill="1" applyBorder="1" applyAlignment="1">
      <alignment horizontal="left" vertical="center" wrapText="1"/>
    </xf>
    <xf numFmtId="0" fontId="2" fillId="4" borderId="1" xfId="2" applyFont="1" applyFill="1" applyBorder="1" applyAlignment="1">
      <alignment horizontal="center" vertical="center" wrapText="1"/>
    </xf>
    <xf numFmtId="0" fontId="0" fillId="0" borderId="0" xfId="0" pivotButton="1" applyAlignment="1">
      <alignment vertical="center"/>
    </xf>
    <xf numFmtId="0" fontId="22" fillId="4" borderId="1" xfId="2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left" vertical="center"/>
    </xf>
    <xf numFmtId="0" fontId="9" fillId="3" borderId="7" xfId="0" applyFont="1" applyFill="1" applyBorder="1" applyAlignment="1">
      <alignment horizontal="left" vertical="center"/>
    </xf>
    <xf numFmtId="0" fontId="20" fillId="0" borderId="15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20" fillId="0" borderId="8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2" borderId="14" xfId="0" applyFont="1" applyFill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11" fillId="0" borderId="15" xfId="0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center" vertical="center" wrapText="1"/>
      <protection locked="0"/>
    </xf>
    <xf numFmtId="0" fontId="19" fillId="8" borderId="3" xfId="0" applyFont="1" applyFill="1" applyBorder="1" applyAlignment="1" applyProtection="1">
      <alignment horizontal="center" vertical="center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4" xfId="0" applyFont="1" applyFill="1" applyBorder="1" applyAlignment="1" applyProtection="1">
      <alignment horizontal="center" vertical="center" wrapText="1"/>
      <protection locked="0"/>
    </xf>
    <xf numFmtId="0" fontId="19" fillId="8" borderId="5" xfId="0" applyFont="1" applyFill="1" applyBorder="1" applyAlignment="1" applyProtection="1">
      <alignment horizontal="center" vertical="center" wrapText="1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vertical="center" wrapText="1"/>
      <protection locked="0"/>
    </xf>
    <xf numFmtId="0" fontId="11" fillId="3" borderId="15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Alignment="1" applyProtection="1">
      <alignment horizontal="left" vertical="center"/>
      <protection locked="0"/>
    </xf>
    <xf numFmtId="0" fontId="9" fillId="3" borderId="15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 wrapText="1"/>
      <protection locked="0"/>
    </xf>
    <xf numFmtId="0" fontId="9" fillId="3" borderId="8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9" fillId="8" borderId="7" xfId="0" applyFont="1" applyFill="1" applyBorder="1" applyAlignment="1" applyProtection="1">
      <alignment horizontal="left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11" fillId="3" borderId="8" xfId="0" applyFont="1" applyFill="1" applyBorder="1" applyAlignment="1" applyProtection="1">
      <alignment vertical="top" wrapText="1"/>
      <protection locked="0"/>
    </xf>
    <xf numFmtId="0" fontId="3" fillId="0" borderId="0" xfId="2" applyFont="1" applyAlignment="1">
      <alignment horizontal="center" vertical="center"/>
    </xf>
    <xf numFmtId="0" fontId="0" fillId="0" borderId="0" xfId="0" applyAlignment="1"/>
    <xf numFmtId="0" fontId="23" fillId="3" borderId="0" xfId="1" applyFont="1" applyFill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3" borderId="10" xfId="0" applyFont="1" applyFill="1" applyBorder="1" applyAlignment="1">
      <alignment horizontal="left" vertical="center"/>
    </xf>
    <xf numFmtId="0" fontId="24" fillId="3" borderId="10" xfId="0" applyFont="1" applyFill="1" applyBorder="1" applyAlignment="1">
      <alignment horizontal="right" vertical="center" wrapText="1"/>
    </xf>
    <xf numFmtId="0" fontId="9" fillId="3" borderId="6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0" fontId="5" fillId="2" borderId="9" xfId="0" applyFont="1" applyFill="1" applyBorder="1" applyAlignment="1" applyProtection="1">
      <alignment horizontal="left" vertical="center" wrapText="1"/>
      <protection locked="0"/>
    </xf>
    <xf numFmtId="0" fontId="8" fillId="3" borderId="10" xfId="0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9" fillId="9" borderId="0" xfId="0" applyFont="1" applyFill="1" applyAlignment="1" applyProtection="1">
      <alignment horizontal="center" vertical="center"/>
      <protection locked="0"/>
    </xf>
    <xf numFmtId="0" fontId="25" fillId="10" borderId="1" xfId="2" applyFont="1" applyFill="1" applyBorder="1" applyAlignment="1">
      <alignment vertical="center"/>
    </xf>
    <xf numFmtId="0" fontId="26" fillId="0" borderId="0" xfId="2" applyFont="1" applyAlignment="1">
      <alignment vertical="center"/>
    </xf>
    <xf numFmtId="0" fontId="11" fillId="0" borderId="1" xfId="2" applyFont="1" applyBorder="1" applyAlignment="1">
      <alignment vertical="center" wrapText="1"/>
    </xf>
    <xf numFmtId="0" fontId="3" fillId="0" borderId="16" xfId="2" applyFont="1" applyBorder="1" applyAlignment="1">
      <alignment wrapText="1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top"/>
      <protection locked="0"/>
    </xf>
    <xf numFmtId="0" fontId="11" fillId="3" borderId="7" xfId="0" applyFont="1" applyFill="1" applyBorder="1" applyAlignment="1" applyProtection="1">
      <alignment vertical="top" wrapText="1"/>
      <protection locked="0"/>
    </xf>
    <xf numFmtId="0" fontId="11" fillId="0" borderId="0" xfId="0" applyFont="1" applyAlignment="1">
      <alignment vertical="top" wrapText="1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3" borderId="15" xfId="0" applyFont="1" applyFill="1" applyBorder="1" applyAlignment="1" applyProtection="1">
      <alignment vertical="top" wrapText="1"/>
      <protection locked="0"/>
    </xf>
    <xf numFmtId="0" fontId="11" fillId="3" borderId="2" xfId="0" applyFont="1" applyFill="1" applyBorder="1" applyAlignment="1" applyProtection="1">
      <alignment vertical="top" wrapText="1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9" fillId="8" borderId="4" xfId="0" applyFont="1" applyFill="1" applyBorder="1" applyAlignment="1">
      <alignment horizontal="left" vertical="center"/>
    </xf>
    <xf numFmtId="0" fontId="6" fillId="8" borderId="0" xfId="0" applyFont="1" applyFill="1" applyAlignment="1" applyProtection="1">
      <alignment horizontal="left" vertical="center" wrapText="1"/>
      <protection locked="0"/>
    </xf>
    <xf numFmtId="0" fontId="8" fillId="8" borderId="0" xfId="0" applyFont="1" applyFill="1" applyAlignment="1">
      <alignment horizontal="left" vertical="center" wrapText="1"/>
    </xf>
    <xf numFmtId="0" fontId="0" fillId="8" borderId="0" xfId="0" applyFill="1" applyAlignment="1"/>
    <xf numFmtId="0" fontId="6" fillId="8" borderId="10" xfId="0" applyFont="1" applyFill="1" applyBorder="1" applyAlignment="1" applyProtection="1">
      <alignment horizontal="left" vertical="center" wrapText="1"/>
      <protection locked="0"/>
    </xf>
    <xf numFmtId="0" fontId="23" fillId="8" borderId="0" xfId="1" applyFont="1" applyFill="1" applyAlignment="1">
      <alignment horizontal="left" vertical="center"/>
    </xf>
    <xf numFmtId="0" fontId="20" fillId="5" borderId="15" xfId="0" applyFont="1" applyFill="1" applyBorder="1" applyAlignment="1" applyProtection="1">
      <alignment horizontal="center" vertical="center"/>
      <protection locked="0"/>
    </xf>
    <xf numFmtId="0" fontId="20" fillId="5" borderId="8" xfId="0" applyFont="1" applyFill="1" applyBorder="1" applyAlignment="1" applyProtection="1">
      <alignment horizontal="center" vertical="center"/>
      <protection locked="0"/>
    </xf>
    <xf numFmtId="0" fontId="20" fillId="5" borderId="2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top"/>
    </xf>
    <xf numFmtId="0" fontId="9" fillId="0" borderId="8" xfId="0" applyFont="1" applyBorder="1" applyAlignment="1" applyProtection="1">
      <alignment horizontal="left" vertical="center"/>
      <protection locked="0"/>
    </xf>
    <xf numFmtId="0" fontId="3" fillId="9" borderId="17" xfId="0" applyFont="1" applyFill="1" applyBorder="1" applyAlignment="1">
      <alignment wrapText="1"/>
    </xf>
    <xf numFmtId="0" fontId="25" fillId="5" borderId="1" xfId="2" applyFont="1" applyFill="1" applyBorder="1" applyAlignment="1">
      <alignment vertical="center"/>
    </xf>
    <xf numFmtId="0" fontId="8" fillId="11" borderId="10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0" fontId="30" fillId="0" borderId="1" xfId="0" applyFont="1" applyBorder="1" applyAlignment="1">
      <alignment wrapText="1"/>
    </xf>
    <xf numFmtId="0" fontId="11" fillId="9" borderId="1" xfId="0" applyFont="1" applyFill="1" applyBorder="1" applyAlignment="1">
      <alignment vertical="center" wrapText="1"/>
    </xf>
    <xf numFmtId="0" fontId="33" fillId="0" borderId="1" xfId="0" applyFont="1" applyBorder="1" applyAlignment="1">
      <alignment horizontal="center" wrapText="1"/>
    </xf>
    <xf numFmtId="0" fontId="14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vertical="center" wrapText="1"/>
    </xf>
    <xf numFmtId="0" fontId="27" fillId="0" borderId="1" xfId="0" applyFont="1" applyBorder="1" applyAlignment="1">
      <alignment vertical="center" wrapText="1"/>
    </xf>
    <xf numFmtId="0" fontId="34" fillId="0" borderId="0" xfId="2" applyFont="1" applyAlignment="1">
      <alignment vertical="center"/>
    </xf>
    <xf numFmtId="0" fontId="3" fillId="0" borderId="1" xfId="2" applyFont="1" applyBorder="1" applyAlignment="1">
      <alignment vertical="top"/>
    </xf>
    <xf numFmtId="0" fontId="3" fillId="0" borderId="1" xfId="2" applyFont="1" applyBorder="1" applyAlignment="1">
      <alignment vertical="top" wrapText="1"/>
    </xf>
    <xf numFmtId="0" fontId="3" fillId="0" borderId="17" xfId="0" applyFont="1" applyBorder="1" applyAlignment="1">
      <alignment vertical="top"/>
    </xf>
    <xf numFmtId="14" fontId="3" fillId="0" borderId="1" xfId="2" applyNumberFormat="1" applyFont="1" applyBorder="1" applyAlignment="1">
      <alignment vertical="top" wrapText="1"/>
    </xf>
    <xf numFmtId="0" fontId="20" fillId="0" borderId="1" xfId="0" applyFont="1" applyBorder="1" applyAlignment="1">
      <alignment vertical="top"/>
    </xf>
    <xf numFmtId="0" fontId="3" fillId="0" borderId="0" xfId="2" applyFont="1" applyAlignment="1">
      <alignment vertical="top"/>
    </xf>
    <xf numFmtId="0" fontId="3" fillId="0" borderId="17" xfId="2" applyFont="1" applyBorder="1" applyAlignment="1">
      <alignment vertical="top" wrapText="1"/>
    </xf>
    <xf numFmtId="0" fontId="3" fillId="0" borderId="17" xfId="2" applyFont="1" applyBorder="1" applyAlignment="1">
      <alignment vertical="top"/>
    </xf>
    <xf numFmtId="14" fontId="3" fillId="0" borderId="17" xfId="2" applyNumberFormat="1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3" fillId="0" borderId="17" xfId="0" applyFont="1" applyBorder="1" applyAlignment="1">
      <alignment wrapText="1"/>
    </xf>
    <xf numFmtId="0" fontId="3" fillId="0" borderId="17" xfId="0" applyFont="1" applyBorder="1" applyAlignment="1"/>
    <xf numFmtId="0" fontId="11" fillId="0" borderId="0" xfId="2" applyFont="1" applyAlignment="1">
      <alignment vertical="top"/>
    </xf>
    <xf numFmtId="0" fontId="29" fillId="0" borderId="18" xfId="0" applyFont="1" applyBorder="1" applyAlignment="1"/>
    <xf numFmtId="0" fontId="29" fillId="0" borderId="18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29" fillId="0" borderId="19" xfId="0" applyFont="1" applyBorder="1" applyAlignment="1">
      <alignment wrapText="1"/>
    </xf>
    <xf numFmtId="0" fontId="29" fillId="0" borderId="19" xfId="0" applyFont="1" applyBorder="1" applyAlignment="1"/>
    <xf numFmtId="0" fontId="29" fillId="0" borderId="20" xfId="0" applyFont="1" applyBorder="1" applyAlignment="1">
      <alignment wrapText="1"/>
    </xf>
    <xf numFmtId="0" fontId="29" fillId="0" borderId="20" xfId="0" applyFont="1" applyBorder="1" applyAlignment="1"/>
    <xf numFmtId="0" fontId="3" fillId="0" borderId="20" xfId="0" applyFont="1" applyBorder="1" applyAlignment="1">
      <alignment wrapText="1"/>
    </xf>
    <xf numFmtId="0" fontId="3" fillId="0" borderId="20" xfId="0" applyFont="1" applyBorder="1" applyAlignment="1"/>
    <xf numFmtId="0" fontId="30" fillId="0" borderId="21" xfId="0" applyFont="1" applyBorder="1" applyAlignment="1">
      <alignment wrapText="1"/>
    </xf>
    <xf numFmtId="0" fontId="30" fillId="0" borderId="21" xfId="0" applyFont="1" applyBorder="1" applyAlignment="1"/>
    <xf numFmtId="0" fontId="31" fillId="0" borderId="22" xfId="0" applyFont="1" applyBorder="1" applyAlignment="1">
      <alignment wrapText="1"/>
    </xf>
    <xf numFmtId="0" fontId="31" fillId="0" borderId="22" xfId="0" applyFont="1" applyBorder="1" applyAlignment="1"/>
    <xf numFmtId="0" fontId="31" fillId="0" borderId="23" xfId="0" applyFont="1" applyBorder="1" applyAlignment="1">
      <alignment wrapText="1"/>
    </xf>
    <xf numFmtId="0" fontId="3" fillId="0" borderId="23" xfId="0" applyFont="1" applyBorder="1" applyAlignment="1">
      <alignment wrapText="1"/>
    </xf>
    <xf numFmtId="0" fontId="31" fillId="0" borderId="23" xfId="0" applyFont="1" applyBorder="1" applyAlignment="1"/>
    <xf numFmtId="0" fontId="31" fillId="0" borderId="24" xfId="0" applyFont="1" applyBorder="1" applyAlignment="1">
      <alignment wrapText="1"/>
    </xf>
    <xf numFmtId="0" fontId="31" fillId="0" borderId="24" xfId="0" applyFont="1" applyBorder="1" applyAlignment="1"/>
    <xf numFmtId="0" fontId="31" fillId="0" borderId="25" xfId="0" applyFont="1" applyBorder="1" applyAlignment="1">
      <alignment wrapText="1"/>
    </xf>
    <xf numFmtId="0" fontId="31" fillId="0" borderId="25" xfId="0" applyFont="1" applyBorder="1" applyAlignment="1"/>
    <xf numFmtId="0" fontId="31" fillId="0" borderId="26" xfId="0" applyFont="1" applyBorder="1" applyAlignment="1">
      <alignment wrapText="1"/>
    </xf>
    <xf numFmtId="0" fontId="31" fillId="0" borderId="26" xfId="0" applyFont="1" applyBorder="1" applyAlignment="1"/>
    <xf numFmtId="0" fontId="31" fillId="0" borderId="27" xfId="0" applyFont="1" applyBorder="1" applyAlignment="1">
      <alignment wrapText="1"/>
    </xf>
    <xf numFmtId="0" fontId="31" fillId="0" borderId="27" xfId="0" applyFont="1" applyBorder="1" applyAlignment="1"/>
    <xf numFmtId="0" fontId="31" fillId="0" borderId="28" xfId="0" applyFont="1" applyBorder="1" applyAlignment="1">
      <alignment wrapText="1"/>
    </xf>
    <xf numFmtId="0" fontId="31" fillId="0" borderId="28" xfId="0" applyFont="1" applyBorder="1" applyAlignment="1"/>
    <xf numFmtId="0" fontId="4" fillId="2" borderId="28" xfId="5" applyFill="1" applyBorder="1" applyAlignment="1">
      <alignment vertical="top" wrapText="1"/>
    </xf>
    <xf numFmtId="0" fontId="5" fillId="2" borderId="28" xfId="0" applyFont="1" applyFill="1" applyBorder="1" applyAlignment="1">
      <alignment horizontal="left" vertical="top" wrapText="1"/>
    </xf>
    <xf numFmtId="0" fontId="5" fillId="2" borderId="28" xfId="0" applyFont="1" applyFill="1" applyBorder="1" applyAlignment="1">
      <alignment horizontal="center" vertical="top" wrapText="1"/>
    </xf>
    <xf numFmtId="0" fontId="5" fillId="2" borderId="28" xfId="0" applyFont="1" applyFill="1" applyBorder="1" applyAlignment="1">
      <alignment vertical="top" wrapText="1"/>
    </xf>
    <xf numFmtId="0" fontId="4" fillId="12" borderId="28" xfId="5" applyFill="1" applyBorder="1" applyAlignment="1">
      <alignment vertical="top" wrapText="1"/>
    </xf>
    <xf numFmtId="0" fontId="5" fillId="12" borderId="28" xfId="0" applyFont="1" applyFill="1" applyBorder="1" applyAlignment="1">
      <alignment horizontal="left" vertical="top" wrapText="1"/>
    </xf>
    <xf numFmtId="0" fontId="5" fillId="12" borderId="28" xfId="0" applyFont="1" applyFill="1" applyBorder="1" applyAlignment="1">
      <alignment horizontal="center" vertical="top" wrapText="1"/>
    </xf>
    <xf numFmtId="0" fontId="5" fillId="12" borderId="28" xfId="0" applyFont="1" applyFill="1" applyBorder="1" applyAlignment="1">
      <alignment vertical="top" wrapText="1"/>
    </xf>
    <xf numFmtId="0" fontId="3" fillId="0" borderId="21" xfId="0" applyFont="1" applyBorder="1" applyAlignment="1">
      <alignment wrapText="1"/>
    </xf>
    <xf numFmtId="0" fontId="3" fillId="0" borderId="22" xfId="0" applyFont="1" applyBorder="1" applyAlignment="1">
      <alignment wrapText="1"/>
    </xf>
    <xf numFmtId="0" fontId="3" fillId="0" borderId="18" xfId="0" applyFont="1" applyBorder="1" applyAlignment="1"/>
    <xf numFmtId="0" fontId="9" fillId="0" borderId="0" xfId="0" applyFont="1" applyAlignment="1">
      <alignment horizontal="left" vertical="center"/>
    </xf>
    <xf numFmtId="0" fontId="11" fillId="0" borderId="0" xfId="2" applyFont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176" fontId="6" fillId="2" borderId="14" xfId="0" applyNumberFormat="1" applyFont="1" applyFill="1" applyBorder="1" applyAlignment="1">
      <alignment horizontal="left" vertical="center" wrapText="1"/>
    </xf>
    <xf numFmtId="176" fontId="6" fillId="8" borderId="10" xfId="0" applyNumberFormat="1" applyFont="1" applyFill="1" applyBorder="1" applyAlignment="1">
      <alignment horizontal="left" vertical="center" wrapText="1"/>
    </xf>
    <xf numFmtId="177" fontId="3" fillId="0" borderId="1" xfId="2" applyNumberFormat="1" applyFont="1" applyBorder="1" applyAlignment="1">
      <alignment vertical="top" wrapText="1"/>
    </xf>
    <xf numFmtId="177" fontId="3" fillId="0" borderId="17" xfId="2" applyNumberFormat="1" applyFont="1" applyBorder="1" applyAlignment="1">
      <alignment vertical="top" wrapText="1"/>
    </xf>
    <xf numFmtId="0" fontId="10" fillId="8" borderId="10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10" fillId="8" borderId="11" xfId="0" applyFont="1" applyFill="1" applyBorder="1" applyAlignment="1">
      <alignment horizontal="left" vertical="center" wrapText="1"/>
    </xf>
    <xf numFmtId="0" fontId="0" fillId="0" borderId="13" xfId="0" applyBorder="1" applyAlignment="1"/>
    <xf numFmtId="0" fontId="28" fillId="3" borderId="10" xfId="0" applyFont="1" applyFill="1" applyBorder="1" applyAlignment="1">
      <alignment horizontal="left" vertical="top" wrapText="1"/>
    </xf>
    <xf numFmtId="0" fontId="0" fillId="0" borderId="10" xfId="0" applyBorder="1" applyAlignment="1"/>
    <xf numFmtId="0" fontId="27" fillId="0" borderId="1" xfId="0" applyFont="1" applyBorder="1" applyAlignment="1">
      <alignment horizontal="center" vertical="center" wrapText="1"/>
    </xf>
    <xf numFmtId="0" fontId="0" fillId="0" borderId="2" xfId="0" applyBorder="1" applyAlignment="1"/>
    <xf numFmtId="0" fontId="33" fillId="0" borderId="1" xfId="0" applyFont="1" applyBorder="1" applyAlignment="1">
      <alignment horizontal="center" vertical="center" wrapText="1"/>
    </xf>
    <xf numFmtId="0" fontId="0" fillId="0" borderId="8" xfId="0" applyBorder="1" applyAlignment="1"/>
    <xf numFmtId="0" fontId="14" fillId="0" borderId="1" xfId="0" applyFont="1" applyBorder="1" applyAlignment="1">
      <alignment horizontal="center" vertical="center" wrapText="1"/>
    </xf>
    <xf numFmtId="0" fontId="34" fillId="0" borderId="10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 wrapText="1"/>
    </xf>
    <xf numFmtId="0" fontId="11" fillId="0" borderId="0" xfId="2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</cellXfs>
  <cellStyles count="6">
    <cellStyle name="Normal 2" xfId="1" xr:uid="{00000000-0005-0000-0000-000001000000}"/>
    <cellStyle name="Normal 2 2" xfId="4" xr:uid="{00000000-0005-0000-0000-000004000000}"/>
    <cellStyle name="常规" xfId="0" builtinId="0"/>
    <cellStyle name="常规 2" xfId="2" xr:uid="{00000000-0005-0000-0000-000002000000}"/>
    <cellStyle name="超链接" xfId="5" builtinId="8"/>
    <cellStyle name="超链接 2" xfId="3" xr:uid="{00000000-0005-0000-0000-000003000000}"/>
  </cellStyles>
  <dxfs count="20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</xdr:colOff>
          <xdr:row>0</xdr:row>
          <xdr:rowOff>19050</xdr:rowOff>
        </xdr:from>
        <xdr:to>
          <xdr:col>1</xdr:col>
          <xdr:colOff>872490</xdr:colOff>
          <xdr:row>0</xdr:row>
          <xdr:rowOff>186690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96877668-4E5C-4C17-A597-D8C3C7CA6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</xdr:colOff>
          <xdr:row>0</xdr:row>
          <xdr:rowOff>19050</xdr:rowOff>
        </xdr:from>
        <xdr:to>
          <xdr:col>1</xdr:col>
          <xdr:colOff>872490</xdr:colOff>
          <xdr:row>1</xdr:row>
          <xdr:rowOff>11430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F71FED07-A495-4FE4-8F84-B917CEC96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anhua JH4 He" refreshedDate="44258.503688194447" createdVersion="6" refreshedVersion="6" minRefreshableVersion="3" recordCount="32" xr:uid="{00000000-000A-0000-FFFF-FFFF09000000}">
  <cacheSource type="worksheet">
    <worksheetSource ref="A1:V48" sheet="ALT Number"/>
  </cacheSource>
  <cacheFields count="22">
    <cacheField name="Vintage" numFmtId="0">
      <sharedItems containsBlank="1" count="6">
        <s v="EVT2"/>
        <s v="EVT"/>
        <m/>
        <s v="DVT1" u="1"/>
        <s v="PVT" u="1"/>
        <s v="DVT2" u="1"/>
      </sharedItems>
    </cacheField>
    <cacheField name="Qty." numFmtId="0">
      <sharedItems containsString="0" containsBlank="1" containsNumber="1" containsInteger="1" minValue="0" maxValue="60" count="17">
        <n v="8"/>
        <n v="2"/>
        <n v="5"/>
        <n v="4"/>
        <m/>
        <n v="0" u="1"/>
        <n v="15" u="1"/>
        <n v="6" u="1"/>
        <n v="16" u="1"/>
        <n v="7" u="1"/>
        <n v="20" u="1"/>
        <n v="60" u="1"/>
        <n v="1" u="1"/>
        <n v="3" u="1"/>
        <n v="9" u="1"/>
        <n v="10" u="1"/>
        <n v="12" u="1"/>
      </sharedItems>
    </cacheField>
    <cacheField name="Eval_x000a_Carrier" numFmtId="0">
      <sharedItems containsBlank="1" count="4">
        <s v="Eval"/>
        <m/>
        <s v="Formal" u="1"/>
        <s v="Carrier" u="1"/>
      </sharedItems>
    </cacheField>
    <cacheField name="Test" numFmtId="0">
      <sharedItems containsBlank="1" count="130">
        <s v="MD ALT 2019 - Eval"/>
        <s v="DVT MDu04 Eval - Threaded Fasteners Torque Retention"/>
        <s v="DVT MDu11 Eval - Contact Height Post - Environmental"/>
        <s v="DVT MDu14 Eval - Particulate Motility Test (PMT)"/>
        <s v="DVT MDu31 Eval - Side Button Tactile and Life Cycling"/>
        <s v="DVT MDu51 Eval - Impact Exterior Surfaces"/>
        <s v="DVT MDu66 Eval - Product Bend Test"/>
        <s v="DVT MXc22 Eval - Water Ingress Protection IPX2"/>
        <s v="DVT MXc06 Eval - Tumbler Test"/>
        <s v="DVT MDu52 Eval - Environmental / Chemical Susceptibility Of Consumer Products"/>
        <s v="DVT MXc22 Eval - Water Ingress Protection IPX2_x0009_"/>
        <s v="DVT MXc04 Eval - Salt Spray Test"/>
        <s v="DVT MDu44 Eval - Shield and PC Board robustness"/>
        <s v="DVT MDu72 Eval - Concentrated Pressure Fault – Pogo Test"/>
        <s v="DVT MDu20 Eval - Connector Insertion Cycling"/>
        <s v="DVT MDu21 Eval - I/O Connector: Rotational Electrical Continuity"/>
        <s v="DVT MDu70 Eval - SIM Connector Misuse and Force Testing"/>
        <s v="DVT MXc03 Eval - Power Cuts Impact Test"/>
        <s v="DVT MXc21 Eval - Water Spray Test"/>
        <m/>
        <s v="DVT MDu14 - Particulate Motility Test (PMT)" u="1"/>
        <s v="ATT 30 ESD" u="1"/>
        <s v="ATT 20 Abrasion Test" u="1"/>
        <s v="DVT MDu23 Eval - I/O Connector: Sideload Durability Cycling" u="1"/>
        <s v="DVT MDu50 Eval - Squeeze Test" u="1"/>
        <s v="DVT EDu09 - RAM Integrity Test" u="1"/>
        <s v="DVT EPr03 - Memory Card Compatibility Testing" u="1"/>
        <s v="ATT 13 RASS-Vibration" u="1"/>
        <s v="DVT EDu03 - ESD Certification Test" u="1"/>
        <s v="DVT EDu06 Eval - RF Radiation Test" u="1"/>
        <s v="DVT MDu28 - Connector Plug Drop and Load Robustness" u="1"/>
        <s v="TMO 483007 SIM / SD Tray Removal Tool" u="1"/>
        <s v="DVT MDu51 - Impact Exterior Surfaces" u="1"/>
        <s v="ATT 26 Sand and Dust Exposure" u="1"/>
        <s v="ATT 27 Radiation/UV Exposure" u="1"/>
        <s v="DVT EDu01 - Performance during Humidity and Extreme Temperature" u="1"/>
        <s v="DVT EPr02 - eCompass Validation" u="1"/>
        <s v="DVT MDu49 - Magnetic Particle (Ingress)" u="1"/>
        <s v="TMO 6528 Connector Durability" u="1"/>
        <s v="MD ALT 2019_x0009_" u="1"/>
        <s v="DVT MDu59 Eval - First Surface Finishes - Paint Adhesion" u="1"/>
        <s v="DVT MDu59 - First Surface Finishes - Paint Adhesion" u="1"/>
        <s v="ATT 14 RASS-Temperature and Humidity Cycling" u="1"/>
        <s v="DVT EDu15 - Soft Short" u="1"/>
        <s v="TMO 6517 High Temperature Natural Stresses" u="1"/>
        <s v="TMO 6546 Capillary Liquid Ingress" u="1"/>
        <s v="DVT EDu11 Eval - Shorted Charger Test" u="1"/>
        <s v="DVT MDu30 - Infra Red Imaging" u="1"/>
        <s v="TMO 480581 Rough Surface Stress" u="1"/>
        <s v="DVT MDu30 Eval - Infra Red Imaging_x0009_" u="1"/>
        <s v="DVT EDu14 - Pulse Transient Surge Test" u="1"/>
        <s v="DVT MDu45 - SIM and Memory Card Insertion/Removal and Robustness" u="1"/>
        <s v="ATT 15 Rough Surface Drop" u="1"/>
        <s v="DVT MDu76 - Anti-Smudge (AS) Coating Abrasion Resistance" u="1"/>
        <s v="DVT MDu44 - Shield and PC Board robustness" u="1"/>
        <s v="DVT MXc19 - Liquid Detection Label (LDL) Effectiveness" u="1"/>
        <s v="DVT MXc04 Eval - Salt Spray (mobiles)" u="1"/>
        <s v="DVT MDu04 - Threaded Fasteners Torque Retention" u="1"/>
        <s v="DVT EDu06 - RF Radiation Test" u="1"/>
        <s v="TMO 6541 Connector Torque Stress" u="1"/>
        <s v="DVT MDu70 - SIM Connector Misuse and Force Testing" u="1"/>
        <s v="ATT 19 Display Impact Test" u="1"/>
        <s v="TMO 6545 Liquid Ingress IPX2" u="1"/>
        <s v="DVT MDu33 - Keypad and Button Robustness" u="1"/>
        <s v="DVT MDu78 Eval - SiC Scratch Drop Test" u="1"/>
        <s v="DVT EDu01 Eval - Performance during Humidity and Extreme Temperature" u="1"/>
        <s v="DVT MXc06 Eval - Tumbler Test_x0009_" u="1"/>
        <s v="TMO 6527 Switch Actuation" u="1"/>
        <s v="ATT 18 Display Thumb Test" u="1"/>
        <s v="TMO 6540 Human Compression Stress" u="1"/>
        <s v="DVT MDu31 - Side Button Tactile and Life Cycling" u="1"/>
        <s v="TMO 6516 Low Temperature Nature Stresses" u="1"/>
        <s v="TMO 6539 Point Compression" u="1"/>
        <s v="DVT MDu77 Eval - Vibration Abrasion Test" u="1"/>
        <s v="DVT MXc15 Eval - Solar Radiation" u="1"/>
        <s v="DVT MDu72 - Concentrated Pressure Fault – Pogo Test" u="1"/>
        <s v="DVT MXc15 - Solar Radiation" u="1"/>
        <s v="ATT 28 Conn. Insertion Force" u="1"/>
        <s v="DVT MDu74 - Touch Screen / Back Cover Adhesion Test" u="1"/>
        <s v="TMO 6538 Impact Stress" u="1"/>
        <s v="DVT MDu42 - External Lens Scratch Resistance Test (Phone Level)" u="1"/>
        <s v="TMO 6531 Tumble Test (Phablets)" u="1"/>
        <s v="DVT MDu20 - Connector Insertion Cycling" u="1"/>
        <s v="DVT EDu16 - Charger Overvoltage test" u="1"/>
        <s v="TMO 6509 Thermal Rate of Change" u="1"/>
        <s v="ATT 17 Bend Test" u="1"/>
        <s v="ATT 29 Conn. Stress Test" u="1"/>
        <s v="DVT MDu30 Eval - Infra Red Imaging" u="1"/>
        <s v="TMO 6510 Transportation Induced Shock and Vibration Stresses" u="1"/>
        <s v="DVT EPr04 Eval - Proximity Sensor Condensation Immunity Test" u="1"/>
        <s v="DVT MDu52 - Environmental / Chemical Susceptibility Of Consumer Products" u="1"/>
        <s v="DVT MXc22 - Water Ingress Protection IPX2" u="1"/>
        <s v="ATT 24 LDI Trip Test" u="1"/>
        <s v="DVT MDu53 - Water Intrusion (Red Dye) Test" u="1"/>
        <s v="TMO 6515 Relative Humidity" u="1"/>
        <s v="DVT MXc04 - Salt Spray (mobiles)" u="1"/>
        <s v="TMO 483006 SIM / SD Card Insertion / Removal Durability" u="1"/>
        <s v="DVT EDu12 - eMMC Memory Durability Test" u="1"/>
        <s v="DVT EDu13 - Battery Performance at Various Temperature" u="1"/>
        <s v="DVT MDu39 - Lens Scratch Resistance (steel wool) and Hardness" u="1"/>
        <s v="ATT 11 RASS-Drop" u="1"/>
        <s v="DVT EDu03 Eval - ESD Certification Test" u="1"/>
        <s v="DVT EDu03 Eval - ESD Certification Test_x0009_" u="1"/>
        <s v="DVT MDu23 - I/O Connector: Sideload Durability Cycling" u="1"/>
        <s v="ATT 21 Chemical Exposure Test" u="1"/>
        <s v="DVT MDu55 - Vibrator Strength" u="1"/>
        <s v="TMO 6543 Particle Ingress" u="1"/>
        <s v="DVT MDu74 Eval - Touch Screen / Back Cover Adhesion Test" u="1"/>
        <s v="MD ALT 2019 - Vibration" u="1"/>
        <s v="DVT MDu56 - Abrasion Resistance Test (External Phone Surfaces)" u="1"/>
        <s v="ATT 12 RASS-Tumble" u="1"/>
        <s v="DVT MDu78 - SiC Scratch Drop Test" u="1"/>
        <s v="DVT EDu11 - Shorted Charger Test" u="1"/>
        <s v="ATT 23 Water Ingress Test" u="1"/>
        <s v="TMO 6523 Surfaces B Stresses" u="1"/>
        <s v="DVT MDu21 - I/O Connector: Rotational Electrical Continuity" u="1"/>
        <s v="DVT MDu04 Eval - Threaded Fasteners Torque Retention_x0009_" u="1"/>
        <s v="DVT MXc03 - Power Cuts Impact Test" u="1"/>
        <s v="DVT MDu11 - Contact Height Post - Environmental" u="1"/>
        <s v="DVT EPr04 - Proximity Sensor Condensation Immunity Test" u="1"/>
        <s v="DVT MXc06 - Tumbler Test" u="1"/>
        <s v="DVT MDu77 - Vibration Abrasion Test" u="1"/>
        <s v="DVT MDu39 Eval - Lens Scratch Resistance (steel wool) and Hardness" u="1"/>
        <s v="Mini-Loop Eval - Temp Only_x0009_" u="1"/>
        <s v="DVT MDu66 - Product Bend Test" u="1"/>
        <s v="TMO 6547 Liquid Ingress Spill" u="1"/>
        <s v="DVT MXc19 Eval - Liquid Detection Label (LDL) Effectiveness" u="1"/>
        <s v="MD ALT 2019" u="1"/>
        <s v="TMO 6534 Targeted Drop (Phablets)" u="1"/>
        <s v="DVT MDu56 Eval - Abrasion Resistance Test (External Phone Surfaces)" u="1"/>
      </sharedItems>
    </cacheField>
    <cacheField name="ALT_x000a_Number" numFmtId="0">
      <sharedItems containsBlank="1" count="437">
        <s v="WH136606"/>
        <s v="WH136607"/>
        <s v="WH136608"/>
        <s v="WH136610"/>
        <s v="WH136611"/>
        <s v="WH136612"/>
        <s v="WH136613"/>
        <s v="WH136614"/>
        <s v="WH136887"/>
        <s v="WH136888"/>
        <s v="WH136914"/>
        <s v="WH136917"/>
        <s v="WH136918"/>
        <s v="WH136922"/>
        <s v="WH136923"/>
        <s v="WH136969"/>
        <s v="WH136970"/>
        <s v="WH136971"/>
        <s v="WH136972"/>
        <s v="WH136973"/>
        <s v="WH136974"/>
        <s v="WH136975"/>
        <s v="WH136976"/>
        <s v="WH136977"/>
        <s v="WH136978"/>
        <s v="WH136979"/>
        <s v="WH136980"/>
        <s v="WH136981"/>
        <m/>
        <s v="WH131728" u="1"/>
        <s v="WH129346" u="1"/>
        <s v="WH131738" u="1"/>
        <s v="WH129356" u="1"/>
        <s v="WH132137" u="1"/>
        <s v="WH131748" u="1"/>
        <s v="WH129366" u="1"/>
        <s v="WH129376" u="1"/>
        <s v="WH129386" u="1"/>
        <s v="WH129126" u="1"/>
        <s v="WH130318" u="1"/>
        <s v="WH128517" u="1"/>
        <s v="WH130801" u="1"/>
        <s v="WH128527" u="1"/>
        <s v="WH131308" u="1"/>
        <s v="WH128537" u="1"/>
        <s v="WH129767" u="1"/>
        <s v="WH130949" u="1"/>
        <s v="WH129777" u="1"/>
        <s v="WH129787" u="1"/>
        <s v="WH129797" u="1"/>
        <s v="WH131811" u="1"/>
        <s v="WH131821" u="1"/>
        <s v="WH132220" u="1"/>
        <s v="WH130739" u="1"/>
        <s v="WH130759" u="1"/>
        <s v="WH130769" u="1"/>
        <s v="WH131060" u="1"/>
        <s v="WH130779" u="1"/>
        <s v="WH131989" u="1"/>
        <s v="WH130789" u="1"/>
        <s v="WH130799" u="1"/>
        <s v="WH131729" u="1"/>
        <s v="WH129347" u="1"/>
        <s v="WH131739" u="1"/>
        <s v="WH129357" u="1"/>
        <s v="WH132138" u="1"/>
        <s v="WH131749" u="1"/>
        <s v="WH129367" u="1"/>
        <s v="WH129377" u="1"/>
        <s v="WH130569" u="1"/>
        <s v="WH132060" u="1"/>
        <s v="WH129810" u="1"/>
        <s v="WH129117" u="1"/>
        <s v="WH132070" u="1"/>
        <s v="WH129127" u="1"/>
        <s v="WH131549" u="1"/>
        <s v="WH129610" u="1"/>
        <s v="WH128518" u="1"/>
        <s v="WH128528" u="1"/>
        <s v="WH131309" u="1"/>
        <s v="WH128538" u="1"/>
        <s v="WH128548" u="1"/>
        <s v="WH129768" u="1"/>
        <s v="WH129778" u="1"/>
        <s v="WH129788" u="1"/>
        <s v="WH130872" u="1"/>
        <s v="WH131812" u="1"/>
        <s v="WH131822" u="1"/>
        <s v="WH131021" u="1"/>
        <s v="WH131061" u="1"/>
        <s v="WH131071" u="1"/>
        <s v="WH129358" u="1"/>
        <s v="WH132139" u="1"/>
        <s v="WH129368" u="1"/>
        <s v="WH129378" u="1"/>
        <s v="WH129801" u="1"/>
        <s v="WH132061" u="1"/>
        <s v="WH129811" u="1"/>
        <s v="WH129118" u="1"/>
        <s v="WH132071" u="1"/>
        <s v="WH129128" u="1"/>
        <s v="WH129979" u="1"/>
        <s v="WH129611" u="1"/>
        <s v="WH128519" u="1"/>
        <s v="WH128529" u="1"/>
        <s v="WH128539" u="1"/>
        <s v="WH130833" u="1"/>
        <s v="WH128559" u="1"/>
        <s v="WH129769" u="1"/>
        <s v="WH129779" u="1"/>
        <s v="WH129789" u="1"/>
        <s v="WH130052" u="1"/>
        <s v="WH130873" u="1"/>
        <s v="WH131803" u="1"/>
        <s v="WH131813" u="1"/>
        <s v="WH130613" u="1"/>
        <s v="WH132222" u="1"/>
        <s v="WH131022" u="1"/>
        <s v="WH131062" u="1"/>
        <s v="WH131072" u="1"/>
        <s v="WH129349" u="1"/>
        <s v="WH129359" u="1"/>
        <s v="WH129369" u="1"/>
        <s v="WH129261" u="1"/>
        <s v="WH129379" u="1"/>
        <s v="WH129802" u="1"/>
        <s v="WH132062" u="1"/>
        <s v="WH129812" u="1"/>
        <s v="WH129119" u="1"/>
        <s v="WH132072" u="1"/>
        <s v="WH129129" u="1"/>
        <s v="WH130483" u="1"/>
        <s v="WH133853" u="1"/>
        <s v="WH129612" u="1"/>
        <s v="WH130874" u="1"/>
        <s v="WH131804" u="1"/>
        <s v="WH131814" u="1"/>
        <s v="WH132223" u="1"/>
        <s v="WH130664" u="1"/>
        <s v="WH131063" u="1"/>
        <s v="WH131073" u="1"/>
        <s v="WH129262" u="1"/>
        <s v="WH129803" u="1"/>
        <s v="WH132063" u="1"/>
        <s v="WH129813" u="1"/>
        <s v="WH132073" u="1"/>
        <s v="WH130484" u="1"/>
        <s v="WH130214" u="1"/>
        <s v="WH129042" u="1"/>
        <s v="WH129613" u="1"/>
        <s v="WH129693" u="1"/>
        <s v="WH131805" u="1"/>
        <s v="WH131815" u="1"/>
        <s v="WH130615" u="1"/>
        <s v="WH132224" u="1"/>
        <s v="WH131034" u="1"/>
        <s v="WH129463" u="1"/>
        <s v="WH131064" u="1"/>
        <s v="WH131074" u="1"/>
        <s v="WH129253" u="1"/>
        <s v="WH130435" u="1"/>
        <s v="WH129804" u="1"/>
        <s v="WH132064" u="1"/>
        <s v="WH132074" u="1"/>
        <s v="WH130485" u="1"/>
        <s v="WH129614" u="1"/>
        <s v="WH129694" u="1"/>
        <s v="WH131806" u="1"/>
        <s v="WH131816" u="1"/>
        <s v="WH132215" u="1"/>
        <s v="WH132225" u="1"/>
        <s v="WH131065" u="1"/>
        <s v="WH131075" u="1"/>
        <s v="WH130426" u="1"/>
        <s v="WH129254" u="1"/>
        <s v="WH130436" u="1"/>
        <s v="WH132055" u="1"/>
        <s v="WH129805" u="1"/>
        <s v="WH132065" u="1"/>
        <s v="WH130486" u="1"/>
        <s v="WH129605" u="1"/>
        <s v="WH129695" u="1"/>
        <s v="WH130877" u="1"/>
        <s v="WH131807" u="1"/>
        <s v="WH131817" u="1"/>
        <s v="WH132216" u="1"/>
        <s v="WH132226" u="1"/>
        <s v="WH131036" u="1"/>
        <s v="WH131076" u="1"/>
        <s v="WH129245" u="1"/>
        <s v="WH129255" u="1"/>
        <s v="WH129265" u="1"/>
        <s v="WH132056" u="1"/>
        <s v="WH129806" u="1"/>
        <s v="WH132066" u="1"/>
        <s v="WH132076" u="1"/>
        <s v="WH129045" u="1"/>
        <s v="WH130950" u="1"/>
        <s v="WH129606" u="1"/>
        <s v="WH130740" u="1"/>
        <s v="WH130868" u="1"/>
        <s v="WH130760" u="1"/>
        <s v="WH130770" u="1"/>
        <s v="WH131808" u="1"/>
        <s v="WH130077" u="1"/>
        <s v="WH130888" u="1"/>
        <s v="WH130780" u="1"/>
        <s v="WH131818" u="1"/>
        <s v="WH130790" u="1"/>
        <s v="WH132217" u="1"/>
        <s v="WH132227" u="1"/>
        <s v="WH131730" u="1"/>
        <s v="WH131037" u="1"/>
        <s v="WH131740" u="1"/>
        <s v="WH129206" u="1"/>
        <s v="WH131077" u="1"/>
        <s v="WH129246" u="1"/>
        <s v="WH130320" u="1"/>
        <s v="WH129256" u="1"/>
        <s v="WH129266" u="1"/>
        <s v="WH131550" u="1"/>
        <s v="WH132057" u="1"/>
        <s v="WH129807" u="1"/>
        <s v="WH132067" u="1"/>
        <s v="WH131698" u="1"/>
        <s v="WH131310" u="1"/>
        <s v="WH129607" u="1"/>
        <s v="WH131390" u="1"/>
        <s v="WH130761" u="1"/>
        <s v="WH130771" u="1"/>
        <s v="WH131809" u="1"/>
        <s v="WH130889" u="1"/>
        <s v="WH130781" u="1"/>
        <s v="WH132380" u="1"/>
        <s v="WH131819" u="1"/>
        <s v="WH130791" u="1"/>
        <s v="WH132218" u="1"/>
        <s v="WH132228" u="1"/>
        <s v="WH131731" u="1"/>
        <s v="WH132130" u="1"/>
        <s v="WH131741" u="1"/>
        <s v="WH132140" u="1"/>
        <s v="WH131751" u="1"/>
        <s v="WH130551" u="1"/>
        <s v="WH132160" u="1"/>
        <s v="WH130571" u="1"/>
        <s v="WH131078" u="1"/>
        <s v="WH131088" u="1"/>
        <s v="WH130321" u="1"/>
        <s v="WH129257" u="1"/>
        <s v="WH131551" u="1"/>
        <s v="WH132058" u="1"/>
        <s v="WH129808" u="1"/>
        <s v="WH129980" u="1"/>
        <s v="WH132068" u="1"/>
        <s v="WH129007" u="1"/>
        <s v="WH132078" u="1"/>
        <s v="WH128520" u="1"/>
        <s v="WH130381" u="1"/>
        <s v="WH131699" u="1"/>
        <s v="WH128530" u="1"/>
        <s v="WH130219" u="1"/>
        <s v="WH128540" u="1"/>
        <s v="WH128550" u="1"/>
        <s v="WH128560" u="1"/>
        <s v="WH129770" u="1"/>
        <s v="WH129608" u="1"/>
        <s v="WH129780" u="1"/>
        <s v="WH129790" u="1"/>
        <s v="WH131391" u="1"/>
        <s v="WH130762" u="1"/>
        <s v="WH130772" u="1"/>
        <s v="WH130782" u="1"/>
        <s v="WH132381" u="1"/>
        <s v="WH130792" u="1"/>
        <s v="WH132219" u="1"/>
        <s v="WH129340" u="1"/>
        <s v="WH131732" u="1"/>
        <s v="WH129350" u="1"/>
        <s v="WH132131" u="1"/>
        <s v="WH131039" u="1"/>
        <s v="WH131742" u="1"/>
        <s v="WH129468" u="1"/>
        <s v="WH129360" u="1"/>
        <s v="WH132141" u="1"/>
        <s v="WH131752" u="1"/>
        <s v="WH129370" u="1"/>
        <s v="WH130552" u="1"/>
        <s v="WH131059" u="1"/>
        <s v="WH129380" u="1"/>
        <s v="WH129120" u="1"/>
        <s v="WH129130" u="1"/>
        <s v="WH129258" u="1"/>
        <s v="WH132059" u="1"/>
        <s v="WH129809" u="1"/>
        <s v="WH132069" u="1"/>
        <s v="WH128521" u="1"/>
        <s v="WH128531" u="1"/>
        <s v="WH128541" u="1"/>
        <s v="WH128551" u="1"/>
        <s v="WH128561" u="1"/>
        <s v="WH129771" u="1"/>
        <s v="WH129609" u="1"/>
        <s v="WH129781" u="1"/>
        <s v="WH129791" u="1"/>
        <s v="WH131372" u="1"/>
        <s v="WH132382" u="1"/>
        <s v="WH130793" u="1"/>
        <s v="WH129341" u="1"/>
        <s v="WH131733" u="1"/>
        <s v="WH129351" u="1"/>
        <s v="WH132132" u="1"/>
        <s v="WH131743" u="1"/>
        <s v="WH129361" u="1"/>
        <s v="WH132142" u="1"/>
        <s v="WH129371" u="1"/>
        <s v="WH129381" u="1"/>
        <s v="WH132162" u="1"/>
        <s v="WH128992" u="1"/>
        <s v="WH129121" u="1"/>
        <s v="WH128522" u="1"/>
        <s v="WH131303" u="1"/>
        <s v="WH128532" u="1"/>
        <s v="WH129742" u="1"/>
        <s v="WH128542" u="1"/>
        <s v="WH128552" u="1"/>
        <s v="WH128562" u="1"/>
        <s v="WH129772" u="1"/>
        <s v="WH130724" u="1"/>
        <s v="WH130754" u="1"/>
        <s v="WH130764" u="1"/>
        <s v="WH130774" u="1"/>
        <s v="WH130784" u="1"/>
        <s v="WH130794" u="1"/>
        <s v="WH129342" u="1"/>
        <s v="WH131734" u="1"/>
        <s v="WH129352" u="1"/>
        <s v="WH132133" u="1"/>
        <s v="WH131744" u="1"/>
        <s v="WH129362" u="1"/>
        <s v="WH132143" u="1"/>
        <s v="WH130554" u="1"/>
        <s v="WH129382" u="1"/>
        <s v="WH132163" u="1"/>
        <s v="WH130574" u="1"/>
        <s v="WH129122" u="1"/>
        <s v="WH128523" u="1"/>
        <s v="WH131304" u="1"/>
        <s v="WH128533" u="1"/>
        <s v="WH129743" u="1"/>
        <s v="WH128543" u="1"/>
        <s v="WH128553" u="1"/>
        <s v="WH129773" u="1"/>
        <s v="WH129783" u="1"/>
        <s v="WH129793" u="1"/>
        <s v="WH130755" u="1"/>
        <s v="WH130765" u="1"/>
        <s v="WH130775" u="1"/>
        <s v="WH130785" u="1"/>
        <s v="WH130795" u="1"/>
        <s v="WH129343" u="1"/>
        <s v="WH131735" u="1"/>
        <s v="WH129353" u="1"/>
        <s v="WH132134" u="1"/>
        <s v="WH131745" u="1"/>
        <s v="WH129363" u="1"/>
        <s v="WH132144" u="1"/>
        <s v="WH129373" u="1"/>
        <s v="WH129383" u="1"/>
        <s v="WH130575" u="1"/>
        <s v="WH129123" u="1"/>
        <s v="WH130325" u="1"/>
        <s v="WH129984" u="1"/>
        <s v="WH128524" u="1"/>
        <s v="WH131305" u="1"/>
        <s v="WH128534" u="1"/>
        <s v="WH128544" u="1"/>
        <s v="WH128554" u="1"/>
        <s v="WH129764" u="1"/>
        <s v="WH129774" u="1"/>
        <s v="WH129784" u="1"/>
        <s v="WH130155" u="1"/>
        <s v="WH129794" u="1"/>
        <s v="WH131115" u="1"/>
        <s v="WH130756" u="1"/>
        <s v="WH130766" u="1"/>
        <s v="WH130776" u="1"/>
        <s v="WH130786" u="1"/>
        <s v="WH130796" u="1"/>
        <s v="WH129344" u="1"/>
        <s v="WH131736" u="1"/>
        <s v="WH132135" u="1"/>
        <s v="WH131746" u="1"/>
        <s v="WH129364" u="1"/>
        <s v="WH132145" u="1"/>
        <s v="WH129374" u="1"/>
        <s v="WH129384" u="1"/>
        <s v="WH129124" u="1"/>
        <s v="WH128525" u="1"/>
        <s v="WH131306" u="1"/>
        <s v="WH128535" u="1"/>
        <s v="WH128545" u="1"/>
        <s v="WH129765" u="1"/>
        <s v="WH129775" u="1"/>
        <s v="WH129785" u="1"/>
        <s v="WH130767" u="1"/>
        <s v="WH130777" u="1"/>
        <s v="WH130797" u="1"/>
        <s v="WH129345" u="1"/>
        <s v="WH129355" u="1"/>
        <s v="WH132136" u="1"/>
        <s v="WH131747" u="1"/>
        <s v="WH129365" u="1"/>
        <s v="WH132146" u="1"/>
        <s v="WH129375" u="1"/>
        <s v="WH129385" u="1"/>
        <s v="WH129125" u="1"/>
        <s v="WH130317" u="1"/>
        <s v="WH129986" u="1"/>
        <s v="WH130800" u="1"/>
        <s v="WH128526" u="1"/>
        <s v="WH131307" u="1"/>
        <s v="WH128536" u="1"/>
        <s v="WH128546" u="1"/>
        <s v="WH128556" u="1"/>
        <s v="WH129766" u="1"/>
        <s v="WH130948" u="1"/>
        <s v="WH129776" u="1"/>
        <s v="WH129786" u="1"/>
        <s v="WH129796" u="1"/>
        <s v="WH131810" u="1"/>
        <s v="WH131820" u="1"/>
        <s v="WH130758" u="1"/>
        <s v="WH130768" u="1"/>
        <s v="WH130778" u="1"/>
        <s v="WH131988" u="1"/>
        <s v="WH130798" u="1"/>
      </sharedItems>
    </cacheField>
    <cacheField name="Status" numFmtId="0">
      <sharedItems containsBlank="1"/>
    </cacheField>
    <cacheField name="Purpose" numFmtId="0">
      <sharedItems containsBlank="1"/>
    </cacheField>
    <cacheField name="Test Result" numFmtId="0">
      <sharedItems containsBlank="1" count="10">
        <m/>
        <s v=" "/>
        <s v="4.67" u="1"/>
        <s v="Passed" u="1"/>
        <s v="Failed" u="1"/>
        <s v="4.72" u="1"/>
        <s v="3.96" u="1"/>
        <s v="4.82" u="1"/>
        <s v="4.96" u="1"/>
        <s v="NA" u="1"/>
      </sharedItems>
    </cacheField>
    <cacheField name="Failures" numFmtId="0">
      <sharedItems containsBlank="1" count="28" longText="1">
        <m/>
        <s v=" "/>
        <s v=" D2 After 200V surge test,the leakage current is 0.54A." u="1"/>
        <s v=" 1. D4 Lens crack after Drop_x000a_2. 4/6 Band 8/12/71 (main&amp;Div) antenna degradation exceeds 3dB_x000a_3. D4 Wlan degradation exceed 3dB" u="1"/>
        <s v="B5/B12 out of spec" u="1"/>
        <s v="1/4 Shield intruded by red dye over 20%" u="1"/>
        <s v="Rear Housing Painting Peel Off" u="1"/>
        <s v="CDMA drop call ,unable to proceed this test." u="1"/>
        <s v="confirmed with RD, test issue, not a failure" u="1"/>
        <s v=" FAIL(Post static chemical exposure for 48 hours at room temperature, housing has 2 cracks.)" u="1"/>
        <s v=" D1 unable to power on @ Dynamic Load 4.2V" u="1"/>
        <s v=" Low Temp：CDMA test fail._x000a_High Temp：CDMA test fail." u="1"/>
        <s v="1. 4K Video record back glass 49.3 vs 42(spec)_x000a_2. Game with Charging back plastic 46.1 vs 42(spec)" u="1"/>
        <s v="D1-D2-D4, initial test,TRP band2/5/12 out of spec" u="1"/>
        <s v="No need test report." u="1"/>
        <s v="1/2 Display white spot @2500 Left" u="1"/>
        <s v="1. P-sensor no function, recovered after reboot. 1@-8 air, 1@15 air, 1@8 air_x000a_2. Light sensor no function, cannot be recovered 3@+/-15 air_x000a_3. Display color change, recovered after reboot 1@-15 air_x000a_4. Display missing pixels, recovered after a night 1@-8 contact" u="1"/>
        <s v=" Housing crack." u="1"/>
        <s v="game with charging" u="1"/>
        <s v="4/4 Failed, only 4 Fasteners(2,6,11,19) meet requiment for all 4units" u="1"/>
        <s v=" 2in2 Fail Post test: Power/Vol+/Vol- key no tactile feel." u="1"/>
        <s v=" 1H/1.5H/2H:anodizing abrasion at rear camera area." u="1"/>
        <s v="Display lens crack, B10=18" u="1"/>
        <s v="After 1.5h&amp;2h:rear cover abrasion." u="1"/>
        <s v="Camera Lens Only" u="1"/>
        <s v="SIM tray cannot eject after Reversed SIM Tray Insertion _x000a_Unable power on after Reversed SIM Tray Insertion with SD/SIM cards" u="1"/>
        <s v="D1-#18 Spring 43%" u="1"/>
        <s v=" D1&amp;D4 Pass, D2 Band5, D3,D5,D6 Band5&amp;Band12 fail" u="1"/>
      </sharedItems>
    </cacheField>
    <cacheField name="Corrective Actions" numFmtId="0">
      <sharedItems containsNonDate="0" containsString="0" containsBlank="1"/>
    </cacheField>
    <cacheField name="Test Report" numFmtId="0">
      <sharedItems containsBlank="1"/>
    </cacheField>
    <cacheField name="Complete_x000a_Date" numFmtId="0">
      <sharedItems containsBlank="1"/>
    </cacheField>
    <cacheField name="Score Assessment" numFmtId="0">
      <sharedItems containsNonDate="0" containsString="0" containsBlank="1"/>
    </cacheField>
    <cacheField name="Assessment_x000a_Notes" numFmtId="0">
      <sharedItems containsNonDate="0" containsString="0" containsBlank="1"/>
    </cacheField>
    <cacheField name="Sub for Assess?" numFmtId="0">
      <sharedItems containsNonDate="0" containsBlank="1" count="2">
        <m/>
        <s v="Y" u="1"/>
      </sharedItems>
    </cacheField>
    <cacheField name="Update Vintage" numFmtId="0">
      <sharedItems containsNonDate="0" containsString="0" containsBlank="1"/>
    </cacheField>
    <cacheField name="Final Result?" numFmtId="0">
      <sharedItems containsNonDate="0" containsBlank="1" count="2">
        <m/>
        <s v="Y" u="1"/>
      </sharedItems>
    </cacheField>
    <cacheField name="Assess Done?" numFmtId="0">
      <sharedItems containsNonDate="0" containsString="0" containsBlank="1"/>
    </cacheField>
    <cacheField name="New_x000a_Units?" numFmtId="0">
      <sharedItems containsBlank="1" count="3">
        <s v="New"/>
        <s v="Reused"/>
        <m/>
      </sharedItems>
    </cacheField>
    <cacheField name="Unit Aail_x000a_Date" numFmtId="0">
      <sharedItems containsDate="1" containsBlank="1" containsMixedTypes="1" minDate="2021-02-20T00:00:00" maxDate="2021-02-22T00:00:00"/>
    </cacheField>
    <cacheField name="Product" numFmtId="0">
      <sharedItems containsBlank="1" count="6">
        <s v="BerlinNA21 Sub6 SS [tbc] (RDG)"/>
        <s v="Berlin21 Sub6 DS [tbc] (RDQ)"/>
        <m/>
        <s v="Kiev20 WE LATAM DS [moto g 5G] (QZP)" u="1"/>
        <s v="Kiev20 WE LATAM SS [moto g 5G] (QZQ)" u="1"/>
        <s v="Kiev21 NA Sub6 [motorola one 5G ace] (QZS)" u="1"/>
      </sharedItems>
    </cacheField>
    <cacheField name="Delta D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32">
  <r>
    <x v="0"/>
    <x v="0"/>
    <x v="0"/>
    <x v="0"/>
    <x v="0"/>
    <s v="Submitted"/>
    <s v="EVT2 1st Source"/>
    <x v="0"/>
    <x v="0"/>
    <m/>
    <m/>
    <m/>
    <m/>
    <m/>
    <x v="0"/>
    <m/>
    <x v="0"/>
    <m/>
    <x v="0"/>
    <d v="2021-02-20T00:00:00"/>
    <x v="0"/>
    <m/>
  </r>
  <r>
    <x v="0"/>
    <x v="1"/>
    <x v="0"/>
    <x v="1"/>
    <x v="1"/>
    <s v="Submitted"/>
    <s v="EVT2 1st Source"/>
    <x v="0"/>
    <x v="0"/>
    <m/>
    <m/>
    <m/>
    <m/>
    <m/>
    <x v="0"/>
    <m/>
    <x v="0"/>
    <m/>
    <x v="1"/>
    <d v="2021-02-21T00:00:00"/>
    <x v="0"/>
    <m/>
  </r>
  <r>
    <x v="0"/>
    <x v="1"/>
    <x v="0"/>
    <x v="2"/>
    <x v="2"/>
    <s v="Submitted"/>
    <s v="EVT2 1st Source"/>
    <x v="0"/>
    <x v="0"/>
    <m/>
    <m/>
    <m/>
    <m/>
    <m/>
    <x v="0"/>
    <m/>
    <x v="0"/>
    <m/>
    <x v="1"/>
    <s v="2021/02/27"/>
    <x v="0"/>
    <m/>
  </r>
  <r>
    <x v="0"/>
    <x v="1"/>
    <x v="0"/>
    <x v="3"/>
    <x v="3"/>
    <s v="Submitted"/>
    <s v="EVT2 1st Source"/>
    <x v="0"/>
    <x v="0"/>
    <m/>
    <m/>
    <m/>
    <m/>
    <m/>
    <x v="0"/>
    <m/>
    <x v="0"/>
    <m/>
    <x v="0"/>
    <s v="2021/02/27"/>
    <x v="0"/>
    <m/>
  </r>
  <r>
    <x v="0"/>
    <x v="1"/>
    <x v="0"/>
    <x v="4"/>
    <x v="4"/>
    <s v="Submitted"/>
    <s v="EVT2 1st Source, reuse from PMT test"/>
    <x v="0"/>
    <x v="0"/>
    <m/>
    <m/>
    <m/>
    <m/>
    <m/>
    <x v="0"/>
    <m/>
    <x v="0"/>
    <m/>
    <x v="1"/>
    <s v="2021/02/27"/>
    <x v="0"/>
    <m/>
  </r>
  <r>
    <x v="0"/>
    <x v="1"/>
    <x v="0"/>
    <x v="5"/>
    <x v="5"/>
    <s v="Submitted"/>
    <s v="EVT2 1st Source, including camera lens"/>
    <x v="0"/>
    <x v="0"/>
    <m/>
    <m/>
    <m/>
    <m/>
    <m/>
    <x v="0"/>
    <m/>
    <x v="0"/>
    <m/>
    <x v="1"/>
    <s v="2021/02/27"/>
    <x v="0"/>
    <m/>
  </r>
  <r>
    <x v="0"/>
    <x v="1"/>
    <x v="0"/>
    <x v="6"/>
    <x v="6"/>
    <s v="Submitted"/>
    <s v="EVT2 1st Source"/>
    <x v="0"/>
    <x v="0"/>
    <m/>
    <m/>
    <m/>
    <m/>
    <m/>
    <x v="0"/>
    <m/>
    <x v="0"/>
    <m/>
    <x v="0"/>
    <s v="2021/02/27"/>
    <x v="0"/>
    <m/>
  </r>
  <r>
    <x v="0"/>
    <x v="1"/>
    <x v="0"/>
    <x v="7"/>
    <x v="7"/>
    <s v="Submitted"/>
    <s v="EVT 1st Source, test one by one"/>
    <x v="0"/>
    <x v="0"/>
    <m/>
    <m/>
    <m/>
    <m/>
    <m/>
    <x v="0"/>
    <m/>
    <x v="0"/>
    <m/>
    <x v="0"/>
    <s v="2021/02/27"/>
    <x v="0"/>
    <m/>
  </r>
  <r>
    <x v="0"/>
    <x v="1"/>
    <x v="0"/>
    <x v="4"/>
    <x v="8"/>
    <s v="Submitted"/>
    <s v="NA,Berlin EVT2"/>
    <x v="0"/>
    <x v="0"/>
    <m/>
    <m/>
    <m/>
    <m/>
    <m/>
    <x v="0"/>
    <m/>
    <x v="0"/>
    <m/>
    <x v="0"/>
    <s v="2/25/2021"/>
    <x v="0"/>
    <m/>
  </r>
  <r>
    <x v="0"/>
    <x v="2"/>
    <x v="0"/>
    <x v="8"/>
    <x v="9"/>
    <s v="Submitted"/>
    <s v="NA,Berlin EVT2"/>
    <x v="0"/>
    <x v="0"/>
    <m/>
    <m/>
    <m/>
    <m/>
    <m/>
    <x v="0"/>
    <m/>
    <x v="0"/>
    <m/>
    <x v="0"/>
    <s v="2/25/2021"/>
    <x v="0"/>
    <m/>
  </r>
  <r>
    <x v="0"/>
    <x v="3"/>
    <x v="0"/>
    <x v="9"/>
    <x v="10"/>
    <s v="Submitted"/>
    <s v="reused samples with new inly"/>
    <x v="0"/>
    <x v="0"/>
    <m/>
    <m/>
    <m/>
    <m/>
    <m/>
    <x v="0"/>
    <m/>
    <x v="0"/>
    <m/>
    <x v="1"/>
    <s v="2/26/2021"/>
    <x v="0"/>
    <m/>
  </r>
  <r>
    <x v="0"/>
    <x v="1"/>
    <x v="0"/>
    <x v="10"/>
    <x v="11"/>
    <s v="Submitted"/>
    <s v="Berlin NA EVT2"/>
    <x v="0"/>
    <x v="0"/>
    <m/>
    <m/>
    <m/>
    <m/>
    <m/>
    <x v="0"/>
    <m/>
    <x v="0"/>
    <m/>
    <x v="1"/>
    <s v="2/26/2021"/>
    <x v="0"/>
    <m/>
  </r>
  <r>
    <x v="0"/>
    <x v="1"/>
    <x v="0"/>
    <x v="11"/>
    <x v="12"/>
    <s v="Submitted"/>
    <s v="NA,reuse samples, typec connector"/>
    <x v="0"/>
    <x v="0"/>
    <m/>
    <m/>
    <m/>
    <m/>
    <m/>
    <x v="0"/>
    <m/>
    <x v="0"/>
    <m/>
    <x v="1"/>
    <s v="2/26/2021"/>
    <x v="0"/>
    <m/>
  </r>
  <r>
    <x v="0"/>
    <x v="3"/>
    <x v="0"/>
    <x v="12"/>
    <x v="13"/>
    <s v="Submitted"/>
    <s v="NA,reuse samples, Berlin NA EVT2"/>
    <x v="1"/>
    <x v="1"/>
    <m/>
    <s v="Open"/>
    <s v=" "/>
    <m/>
    <m/>
    <x v="0"/>
    <m/>
    <x v="0"/>
    <m/>
    <x v="1"/>
    <s v="2/26/2021"/>
    <x v="0"/>
    <m/>
  </r>
  <r>
    <x v="0"/>
    <x v="1"/>
    <x v="0"/>
    <x v="13"/>
    <x v="14"/>
    <s v="Submitted"/>
    <s v="NA,reuse samples, Berlin NA EVT2"/>
    <x v="0"/>
    <x v="0"/>
    <m/>
    <m/>
    <m/>
    <m/>
    <m/>
    <x v="0"/>
    <m/>
    <x v="0"/>
    <m/>
    <x v="1"/>
    <s v="2/26/2021"/>
    <x v="0"/>
    <m/>
  </r>
  <r>
    <x v="1"/>
    <x v="0"/>
    <x v="0"/>
    <x v="0"/>
    <x v="15"/>
    <s v="Submitted"/>
    <s v="BR4,EVT, 6GB 128GB Hynix Black CSOT Green, 6 AB, 2C"/>
    <x v="0"/>
    <x v="0"/>
    <m/>
    <m/>
    <m/>
    <m/>
    <m/>
    <x v="0"/>
    <m/>
    <x v="0"/>
    <m/>
    <x v="0"/>
    <s v="3/7/2021"/>
    <x v="1"/>
    <m/>
  </r>
  <r>
    <x v="1"/>
    <x v="1"/>
    <x v="0"/>
    <x v="1"/>
    <x v="16"/>
    <s v="Submitted"/>
    <s v="BR4,EVT, 6GB 128GB Hynix Black CSOT Green, 6 AB, 2C"/>
    <x v="0"/>
    <x v="0"/>
    <m/>
    <m/>
    <m/>
    <m/>
    <m/>
    <x v="0"/>
    <m/>
    <x v="0"/>
    <m/>
    <x v="1"/>
    <s v="3/7/2021"/>
    <x v="1"/>
    <m/>
  </r>
  <r>
    <x v="1"/>
    <x v="1"/>
    <x v="0"/>
    <x v="2"/>
    <x v="17"/>
    <s v="Submitted"/>
    <s v="BR4,EVT, 6GB 128GB Hynix Black CSOT Green, 6 AB, 2C"/>
    <x v="0"/>
    <x v="0"/>
    <m/>
    <m/>
    <m/>
    <m/>
    <m/>
    <x v="0"/>
    <m/>
    <x v="0"/>
    <m/>
    <x v="1"/>
    <s v="3/7/2021"/>
    <x v="1"/>
    <m/>
  </r>
  <r>
    <x v="1"/>
    <x v="1"/>
    <x v="0"/>
    <x v="14"/>
    <x v="18"/>
    <s v="Submitted"/>
    <s v="BR4,Reuse from MDu66"/>
    <x v="0"/>
    <x v="0"/>
    <m/>
    <m/>
    <m/>
    <m/>
    <m/>
    <x v="0"/>
    <m/>
    <x v="0"/>
    <m/>
    <x v="1"/>
    <s v="3/7/2021"/>
    <x v="1"/>
    <m/>
  </r>
  <r>
    <x v="1"/>
    <x v="1"/>
    <x v="0"/>
    <x v="15"/>
    <x v="19"/>
    <s v="Submitted"/>
    <s v="BR4,EVT, 6GB 128GB Hynix Black CSOT Green, 6 AB, 2C"/>
    <x v="0"/>
    <x v="0"/>
    <m/>
    <m/>
    <m/>
    <m/>
    <m/>
    <x v="0"/>
    <m/>
    <x v="0"/>
    <m/>
    <x v="0"/>
    <s v="3/7/2021"/>
    <x v="1"/>
    <m/>
  </r>
  <r>
    <x v="1"/>
    <x v="1"/>
    <x v="0"/>
    <x v="6"/>
    <x v="20"/>
    <s v="Submitted"/>
    <s v="BR4,EVT, 6GB 128GB Hynix Black CSOT Green, 6 AB, 2C"/>
    <x v="0"/>
    <x v="0"/>
    <m/>
    <m/>
    <m/>
    <m/>
    <m/>
    <x v="0"/>
    <m/>
    <x v="0"/>
    <m/>
    <x v="0"/>
    <s v="3/7/2021"/>
    <x v="1"/>
    <m/>
  </r>
  <r>
    <x v="1"/>
    <x v="1"/>
    <x v="0"/>
    <x v="16"/>
    <x v="21"/>
    <s v="Submitted"/>
    <s v="BR4,Reuse from MDu21"/>
    <x v="0"/>
    <x v="0"/>
    <m/>
    <m/>
    <m/>
    <m/>
    <m/>
    <x v="0"/>
    <m/>
    <x v="0"/>
    <m/>
    <x v="0"/>
    <s v="3/7/2021"/>
    <x v="1"/>
    <m/>
  </r>
  <r>
    <x v="1"/>
    <x v="1"/>
    <x v="0"/>
    <x v="17"/>
    <x v="22"/>
    <s v="Submitted"/>
    <s v="BR4,EVT, 6GB 128GB Hynix Black CSOT Green, 6 AB, 2C"/>
    <x v="0"/>
    <x v="0"/>
    <m/>
    <m/>
    <m/>
    <m/>
    <m/>
    <x v="0"/>
    <m/>
    <x v="0"/>
    <m/>
    <x v="0"/>
    <s v="3/7/2021"/>
    <x v="1"/>
    <m/>
  </r>
  <r>
    <x v="1"/>
    <x v="1"/>
    <x v="0"/>
    <x v="3"/>
    <x v="23"/>
    <s v="Submitted"/>
    <s v="BR4,reuse from other tests"/>
    <x v="0"/>
    <x v="0"/>
    <m/>
    <m/>
    <m/>
    <m/>
    <m/>
    <x v="0"/>
    <m/>
    <x v="0"/>
    <m/>
    <x v="1"/>
    <s v="3/7/2021"/>
    <x v="1"/>
    <m/>
  </r>
  <r>
    <x v="1"/>
    <x v="1"/>
    <x v="0"/>
    <x v="4"/>
    <x v="24"/>
    <s v="Submitted"/>
    <s v="BR4,Reuse from MDu51"/>
    <x v="0"/>
    <x v="0"/>
    <m/>
    <m/>
    <m/>
    <m/>
    <m/>
    <x v="0"/>
    <m/>
    <x v="0"/>
    <m/>
    <x v="0"/>
    <s v="3/7/2021"/>
    <x v="1"/>
    <m/>
  </r>
  <r>
    <x v="1"/>
    <x v="1"/>
    <x v="0"/>
    <x v="5"/>
    <x v="25"/>
    <s v="Submitted"/>
    <s v="BR4,EVT, Hynix 6+128, CSOT, Green, ATL, Yahua"/>
    <x v="0"/>
    <x v="0"/>
    <m/>
    <m/>
    <m/>
    <m/>
    <m/>
    <x v="0"/>
    <m/>
    <x v="0"/>
    <m/>
    <x v="0"/>
    <s v="3/7/2021"/>
    <x v="1"/>
    <m/>
  </r>
  <r>
    <x v="1"/>
    <x v="2"/>
    <x v="0"/>
    <x v="8"/>
    <x v="26"/>
    <s v="Submitted"/>
    <s v="BR4,EVT, Hynix 6+128, CSOT, Green, ATL, Yahua"/>
    <x v="0"/>
    <x v="0"/>
    <m/>
    <m/>
    <m/>
    <m/>
    <m/>
    <x v="0"/>
    <m/>
    <x v="0"/>
    <m/>
    <x v="0"/>
    <s v="3/7/2021"/>
    <x v="1"/>
    <m/>
  </r>
  <r>
    <x v="1"/>
    <x v="1"/>
    <x v="0"/>
    <x v="18"/>
    <x v="27"/>
    <s v="Submitted"/>
    <s v="BR4,EVT, Hynix 6+128, CSOT, Green, ATL, Yahua"/>
    <x v="0"/>
    <x v="0"/>
    <m/>
    <m/>
    <m/>
    <m/>
    <m/>
    <x v="0"/>
    <m/>
    <x v="0"/>
    <m/>
    <x v="0"/>
    <s v="3/7/2021"/>
    <x v="1"/>
    <m/>
  </r>
  <r>
    <x v="2"/>
    <x v="4"/>
    <x v="1"/>
    <x v="19"/>
    <x v="28"/>
    <m/>
    <m/>
    <x v="0"/>
    <x v="0"/>
    <m/>
    <m/>
    <m/>
    <m/>
    <m/>
    <x v="0"/>
    <m/>
    <x v="0"/>
    <m/>
    <x v="2"/>
    <m/>
    <x v="2"/>
    <m/>
  </r>
  <r>
    <x v="2"/>
    <x v="4"/>
    <x v="1"/>
    <x v="19"/>
    <x v="28"/>
    <m/>
    <m/>
    <x v="0"/>
    <x v="0"/>
    <m/>
    <m/>
    <m/>
    <m/>
    <m/>
    <x v="0"/>
    <m/>
    <x v="0"/>
    <m/>
    <x v="2"/>
    <m/>
    <x v="2"/>
    <m/>
  </r>
  <r>
    <x v="2"/>
    <x v="4"/>
    <x v="1"/>
    <x v="19"/>
    <x v="28"/>
    <m/>
    <m/>
    <x v="0"/>
    <x v="0"/>
    <m/>
    <m/>
    <m/>
    <m/>
    <m/>
    <x v="0"/>
    <m/>
    <x v="0"/>
    <m/>
    <x v="2"/>
    <m/>
    <x v="2"/>
    <m/>
  </r>
  <r>
    <x v="2"/>
    <x v="4"/>
    <x v="1"/>
    <x v="19"/>
    <x v="28"/>
    <m/>
    <m/>
    <x v="0"/>
    <x v="0"/>
    <m/>
    <m/>
    <m/>
    <m/>
    <m/>
    <x v="0"/>
    <m/>
    <x v="0"/>
    <m/>
    <x v="2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3" cacheId="1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A5:I19" firstHeaderRow="1" firstDataRow="1" firstDataCol="8" rowPageCount="3" colPageCount="1"/>
  <pivotFields count="22">
    <pivotField axis="axisRow" compact="0" outline="0" subtotalTop="0" showAll="0" defaultSubtotal="0">
      <items count="6">
        <item m="1" x="3"/>
        <item m="1" x="5"/>
        <item m="1" x="4"/>
        <item x="2"/>
        <item x="0"/>
        <item x="1"/>
      </items>
    </pivotField>
    <pivotField axis="axisRow" dataField="1" compact="0" outline="0" subtotalTop="0" showAll="0" defaultSubtotal="0">
      <items count="17">
        <item m="1" x="5"/>
        <item m="1" x="12"/>
        <item x="1"/>
        <item m="1" x="13"/>
        <item x="3"/>
        <item x="2"/>
        <item m="1" x="7"/>
        <item x="0"/>
        <item m="1" x="14"/>
        <item m="1" x="15"/>
        <item m="1" x="16"/>
        <item m="1" x="6"/>
        <item m="1" x="8"/>
        <item m="1" x="10"/>
        <item m="1" x="9"/>
        <item m="1" x="11"/>
        <item x="4"/>
      </items>
    </pivotField>
    <pivotField axis="axisPage" compact="0" outline="0" subtotalTop="0" showAll="0" defaultSubtotal="0">
      <items count="4">
        <item m="1" x="3"/>
        <item x="0"/>
        <item m="1" x="2"/>
        <item x="1"/>
      </items>
    </pivotField>
    <pivotField axis="axisRow" compact="0" outline="0" subtotalTop="0" showAll="0" defaultSubtotal="0">
      <items count="130">
        <item m="1" x="100"/>
        <item m="1" x="110"/>
        <item m="1" x="27"/>
        <item m="1" x="42"/>
        <item m="1" x="52"/>
        <item m="1" x="85"/>
        <item m="1" x="68"/>
        <item m="1" x="61"/>
        <item m="1" x="22"/>
        <item m="1" x="104"/>
        <item m="1" x="113"/>
        <item m="1" x="92"/>
        <item m="1" x="33"/>
        <item m="1" x="34"/>
        <item m="1" x="77"/>
        <item m="1" x="86"/>
        <item m="1" x="21"/>
        <item m="1" x="35"/>
        <item m="1" x="28"/>
        <item m="1" x="101"/>
        <item m="1" x="102"/>
        <item m="1" x="58"/>
        <item m="1" x="29"/>
        <item m="1" x="25"/>
        <item m="1" x="112"/>
        <item m="1" x="46"/>
        <item m="1" x="97"/>
        <item m="1" x="98"/>
        <item m="1" x="50"/>
        <item m="1" x="43"/>
        <item m="1" x="83"/>
        <item m="1" x="36"/>
        <item m="1" x="26"/>
        <item m="1" x="119"/>
        <item m="1" x="89"/>
        <item m="1" x="57"/>
        <item x="1"/>
        <item m="1" x="116"/>
        <item m="1" x="118"/>
        <item m="1" x="20"/>
        <item m="1" x="82"/>
        <item m="1" x="115"/>
        <item x="15"/>
        <item m="1" x="103"/>
        <item m="1" x="23"/>
        <item m="1" x="30"/>
        <item m="1" x="47"/>
        <item m="1" x="87"/>
        <item m="1" x="49"/>
        <item m="1" x="70"/>
        <item m="1" x="63"/>
        <item m="1" x="99"/>
        <item m="1" x="122"/>
        <item m="1" x="80"/>
        <item m="1" x="54"/>
        <item m="1" x="51"/>
        <item m="1" x="37"/>
        <item m="1" x="32"/>
        <item x="5"/>
        <item m="1" x="90"/>
        <item x="9"/>
        <item m="1" x="105"/>
        <item m="1" x="109"/>
        <item m="1" x="129"/>
        <item m="1" x="41"/>
        <item m="1" x="40"/>
        <item m="1" x="124"/>
        <item x="6"/>
        <item m="1" x="60"/>
        <item x="16"/>
        <item m="1" x="75"/>
        <item m="1" x="78"/>
        <item m="1" x="53"/>
        <item m="1" x="121"/>
        <item m="1" x="73"/>
        <item m="1" x="111"/>
        <item m="1" x="117"/>
        <item m="1" x="95"/>
        <item m="1" x="56"/>
        <item m="1" x="120"/>
        <item x="8"/>
        <item m="1" x="66"/>
        <item m="1" x="76"/>
        <item m="1" x="74"/>
        <item m="1" x="55"/>
        <item m="1" x="126"/>
        <item x="18"/>
        <item m="1" x="91"/>
        <item x="7"/>
        <item m="1" x="127"/>
        <item x="0"/>
        <item m="1" x="108"/>
        <item m="1" x="39"/>
        <item m="1" x="48"/>
        <item m="1" x="96"/>
        <item m="1" x="31"/>
        <item m="1" x="84"/>
        <item m="1" x="88"/>
        <item m="1" x="94"/>
        <item m="1" x="71"/>
        <item m="1" x="44"/>
        <item m="1" x="114"/>
        <item m="1" x="67"/>
        <item m="1" x="38"/>
        <item m="1" x="81"/>
        <item m="1" x="128"/>
        <item m="1" x="79"/>
        <item m="1" x="72"/>
        <item m="1" x="69"/>
        <item m="1" x="59"/>
        <item m="1" x="106"/>
        <item m="1" x="62"/>
        <item m="1" x="45"/>
        <item m="1" x="125"/>
        <item m="1" x="64"/>
        <item m="1" x="24"/>
        <item m="1" x="107"/>
        <item x="17"/>
        <item m="1" x="65"/>
        <item m="1" x="123"/>
        <item x="19"/>
        <item m="1" x="93"/>
        <item x="2"/>
        <item x="3"/>
        <item x="4"/>
        <item x="10"/>
        <item x="11"/>
        <item x="12"/>
        <item x="13"/>
        <item x="14"/>
      </items>
    </pivotField>
    <pivotField name="ALT" axis="axisRow" compact="0" outline="0" showAll="0" defaultSubtotal="0">
      <items count="437">
        <item m="1" x="276"/>
        <item m="1" x="308"/>
        <item m="1" x="334"/>
        <item m="1" x="360"/>
        <item m="1" x="389"/>
        <item m="1" x="30"/>
        <item m="1" x="62"/>
        <item m="1" x="120"/>
        <item m="1" x="278"/>
        <item m="1" x="310"/>
        <item m="1" x="336"/>
        <item m="1" x="362"/>
        <item m="1" x="409"/>
        <item m="1" x="32"/>
        <item m="1" x="64"/>
        <item m="1" x="156"/>
        <item m="1" x="226"/>
        <item m="1" x="266"/>
        <item m="1" x="302"/>
        <item m="1" x="76"/>
        <item m="1" x="102"/>
        <item m="1" x="149"/>
        <item m="1" x="402"/>
        <item m="1" x="135"/>
        <item m="1" x="306"/>
        <item m="1" x="273"/>
        <item m="1" x="233"/>
        <item m="1" x="137"/>
        <item m="1" x="237"/>
        <item m="1" x="210"/>
        <item m="1" x="186"/>
        <item m="1" x="170"/>
        <item m="1" x="154"/>
        <item m="1" x="116"/>
        <item m="1" x="52"/>
        <item m="1" x="275"/>
        <item m="1" x="236"/>
        <item m="1" x="209"/>
        <item m="1" x="185"/>
        <item m="1" x="169"/>
        <item m="1" x="343"/>
        <item m="1" x="317"/>
        <item m="1" x="244"/>
        <item m="1" x="413"/>
        <item m="1" x="394"/>
        <item m="1" x="366"/>
        <item m="1" x="340"/>
        <item m="1" x="314"/>
        <item m="1" x="284"/>
        <item m="1" x="241"/>
        <item m="1" x="92"/>
        <item m="1" x="65"/>
        <item m="1" x="33"/>
        <item m="1" x="410"/>
        <item m="1" x="391"/>
        <item m="1" x="363"/>
        <item m="1" x="337"/>
        <item m="1" x="311"/>
        <item m="1" x="279"/>
        <item m="1" x="239"/>
        <item m="1" x="256"/>
        <item m="1" x="195"/>
        <item m="1" x="163"/>
        <item m="1" x="145"/>
        <item m="1" x="129"/>
        <item m="1" x="99"/>
        <item m="1" x="73"/>
        <item m="1" x="295"/>
        <item m="1" x="254"/>
        <item m="1" x="223"/>
        <item m="1" x="194"/>
        <item m="1" x="178"/>
        <item m="1" x="162"/>
        <item m="1" x="143"/>
        <item m="1" x="126"/>
        <item m="1" x="96"/>
        <item m="1" x="70"/>
        <item m="1" x="293"/>
        <item m="1" x="251"/>
        <item m="1" x="221"/>
        <item m="1" x="192"/>
        <item m="1" x="176"/>
        <item m="1" x="58"/>
        <item m="1" x="435"/>
        <item m="1" x="87"/>
        <item m="1" x="51"/>
        <item m="1" x="431"/>
        <item m="1" x="234"/>
        <item m="1" x="207"/>
        <item m="1" x="184"/>
        <item m="1" x="168"/>
        <item m="1" x="152"/>
        <item m="1" x="136"/>
        <item m="1" x="114"/>
        <item m="1" x="86"/>
        <item m="1" x="50"/>
        <item m="1" x="430"/>
        <item m="1" x="230"/>
        <item m="1" x="203"/>
        <item m="1" x="183"/>
        <item m="1" x="167"/>
        <item m="1" x="151"/>
        <item m="1" x="113"/>
        <item m="1" x="285"/>
        <item m="1" x="242"/>
        <item m="1" x="66"/>
        <item m="1" x="34"/>
        <item m="1" x="411"/>
        <item m="1" x="392"/>
        <item m="1" x="364"/>
        <item m="1" x="338"/>
        <item m="1" x="312"/>
        <item m="1" x="281"/>
        <item m="1" x="240"/>
        <item m="1" x="213"/>
        <item m="1" x="63"/>
        <item m="1" x="31"/>
        <item m="1" x="390"/>
        <item m="1" x="361"/>
        <item m="1" x="335"/>
        <item m="1" x="309"/>
        <item m="1" x="277"/>
        <item m="1" x="238"/>
        <item m="1" x="211"/>
        <item m="1" x="61"/>
        <item m="1" x="29"/>
        <item m="1" x="259"/>
        <item m="1" x="224"/>
        <item m="1" x="250"/>
        <item m="1" x="220"/>
        <item m="1" x="75"/>
        <item m="1" x="269"/>
        <item m="1" x="227"/>
        <item m="1" x="305"/>
        <item m="1" x="225"/>
        <item m="1" x="79"/>
        <item m="1" x="43"/>
        <item m="1" x="421"/>
        <item m="1" x="399"/>
        <item m="1" x="374"/>
        <item m="1" x="347"/>
        <item m="1" x="321"/>
        <item m="1" x="383"/>
        <item m="1" x="247"/>
        <item m="1" x="246"/>
        <item m="1" x="215"/>
        <item m="1" x="188"/>
        <item m="1" x="172"/>
        <item m="1" x="158"/>
        <item m="1" x="140"/>
        <item m="1" x="119"/>
        <item m="1" x="90"/>
        <item m="1" x="171"/>
        <item m="1" x="157"/>
        <item m="1" x="139"/>
        <item m="1" x="118"/>
        <item m="1" x="89"/>
        <item m="1" x="56"/>
        <item m="1" x="288"/>
        <item m="1" x="280"/>
        <item m="1" x="212"/>
        <item m="1" x="187"/>
        <item m="1" x="155"/>
        <item m="1" x="117"/>
        <item m="1" x="88"/>
        <item m="1" x="197"/>
        <item m="1" x="46"/>
        <item m="1" x="426"/>
        <item m="1" x="231"/>
        <item m="1" x="205"/>
        <item m="1" x="182"/>
        <item m="1" x="112"/>
        <item m="1" x="134"/>
        <item m="1" x="85"/>
        <item m="1" x="200"/>
        <item m="1" x="106"/>
        <item m="1" x="41"/>
        <item m="1" x="419"/>
        <item m="1" x="60"/>
        <item m="1" x="436"/>
        <item m="1" x="407"/>
        <item m="1" x="388"/>
        <item m="1" x="359"/>
        <item m="1" x="333"/>
        <item m="1" x="307"/>
        <item m="1" x="274"/>
        <item m="1" x="235"/>
        <item m="1" x="208"/>
        <item m="1" x="59"/>
        <item m="1" x="387"/>
        <item m="1" x="358"/>
        <item m="1" x="332"/>
        <item m="1" x="272"/>
        <item m="1" x="232"/>
        <item m="1" x="206"/>
        <item m="1" x="57"/>
        <item m="1" x="434"/>
        <item m="1" x="406"/>
        <item m="1" x="386"/>
        <item m="1" x="357"/>
        <item m="1" x="331"/>
        <item m="1" x="271"/>
        <item m="1" x="229"/>
        <item m="1" x="202"/>
        <item m="1" x="55"/>
        <item m="1" x="433"/>
        <item m="1" x="405"/>
        <item m="1" x="385"/>
        <item m="1" x="356"/>
        <item m="1" x="330"/>
        <item m="1" x="270"/>
        <item m="1" x="228"/>
        <item m="1" x="201"/>
        <item m="1" x="54"/>
        <item m="1" x="432"/>
        <item m="1" x="384"/>
        <item m="1" x="355"/>
        <item m="1" x="199"/>
        <item m="1" x="53"/>
        <item m="1" x="329"/>
        <item m="1" x="328"/>
        <item m="1" x="138"/>
        <item m="1" x="153"/>
        <item m="1" x="115"/>
        <item m="1" x="369"/>
        <item m="1" x="344"/>
        <item m="1" x="245"/>
        <item m="1" x="69"/>
        <item m="1" x="341"/>
        <item m="1" x="287"/>
        <item m="1" x="243"/>
        <item m="1" x="179"/>
        <item m="1" x="164"/>
        <item m="1" x="146"/>
        <item m="1" x="131"/>
        <item m="1" x="175"/>
        <item m="1" x="160"/>
        <item m="1" x="173"/>
        <item m="1" x="258"/>
        <item m="1" x="371"/>
        <item m="1" x="248"/>
        <item m="1" x="217"/>
        <item m="1" x="39"/>
        <item m="1" x="417"/>
        <item m="1" x="261"/>
        <item m="1" x="147"/>
        <item m="1" x="381"/>
        <item m="1" x="204"/>
        <item m="1" x="111"/>
        <item m="1" x="418"/>
        <item m="1" x="372"/>
        <item m="1" x="253"/>
        <item m="1" x="101"/>
        <item m="1" x="144"/>
        <item m="1" x="127"/>
        <item m="1" x="97"/>
        <item m="1" x="71"/>
        <item m="1" x="294"/>
        <item m="1" x="252"/>
        <item m="1" x="222"/>
        <item m="1" x="193"/>
        <item m="1" x="177"/>
        <item m="1" x="161"/>
        <item m="1" x="142"/>
        <item m="1" x="125"/>
        <item m="1" x="95"/>
        <item m="1" x="49"/>
        <item m="1" x="429"/>
        <item m="1" x="382"/>
        <item m="1" x="354"/>
        <item m="1" x="304"/>
        <item m="1" x="268"/>
        <item m="1" x="110"/>
        <item m="1" x="84"/>
        <item m="1" x="48"/>
        <item m="1" x="428"/>
        <item m="1" x="404"/>
        <item m="1" x="380"/>
        <item m="1" x="353"/>
        <item m="1" x="303"/>
        <item m="1" x="267"/>
        <item m="1" x="109"/>
        <item m="1" x="83"/>
        <item m="1" x="47"/>
        <item m="1" x="427"/>
        <item m="1" x="403"/>
        <item m="1" x="379"/>
        <item m="1" x="352"/>
        <item m="1" x="327"/>
        <item m="1" x="301"/>
        <item m="1" x="265"/>
        <item m="1" x="108"/>
        <item m="1" x="82"/>
        <item m="1" x="45"/>
        <item m="1" x="425"/>
        <item m="1" x="378"/>
        <item m="1" x="349"/>
        <item m="1" x="323"/>
        <item m="1" x="181"/>
        <item m="1" x="150"/>
        <item m="1" x="166"/>
        <item m="1" x="165"/>
        <item m="1" x="180"/>
        <item m="1" x="198"/>
        <item m="1" x="133"/>
        <item m="1" x="282"/>
        <item m="1" x="37"/>
        <item m="1" x="408"/>
        <item m="1" x="91"/>
        <item m="1" x="121"/>
        <item m="1" x="283"/>
        <item m="1" x="313"/>
        <item m="1" x="339"/>
        <item m="1" x="365"/>
        <item m="1" x="393"/>
        <item m="1" x="412"/>
        <item m="1" x="35"/>
        <item m="1" x="67"/>
        <item m="1" x="93"/>
        <item m="1" x="122"/>
        <item m="1" x="286"/>
        <item m="1" x="315"/>
        <item m="1" x="367"/>
        <item m="1" x="395"/>
        <item m="1" x="414"/>
        <item m="1" x="36"/>
        <item m="1" x="68"/>
        <item m="1" x="94"/>
        <item m="1" x="124"/>
        <item m="1" x="289"/>
        <item m="1" x="316"/>
        <item m="1" x="342"/>
        <item m="1" x="368"/>
        <item m="1" x="396"/>
        <item m="1" x="415"/>
        <item m="1" x="159"/>
        <item m="1" x="174"/>
        <item m="1" x="190"/>
        <item m="1" x="218"/>
        <item m="1" x="249"/>
        <item m="1" x="292"/>
        <item m="1" x="123"/>
        <item m="1" x="141"/>
        <item m="1" x="191"/>
        <item m="1" x="219"/>
        <item m="1" x="216"/>
        <item m="1" x="189"/>
        <item m="1" x="214"/>
        <item m="1" x="72"/>
        <item m="1" x="98"/>
        <item m="1" x="128"/>
        <item m="1" x="290"/>
        <item m="1" x="319"/>
        <item m="1" x="345"/>
        <item m="1" x="370"/>
        <item m="1" x="397"/>
        <item m="1" x="416"/>
        <item m="1" x="38"/>
        <item m="1" x="74"/>
        <item m="1" x="100"/>
        <item m="1" x="130"/>
        <item m="1" x="291"/>
        <item m="1" x="196"/>
        <item m="1" x="148"/>
        <item m="1" x="255"/>
        <item m="1" x="318"/>
        <item m="1" x="107"/>
        <item m="1" x="296"/>
        <item m="1" x="320"/>
        <item x="28"/>
        <item m="1" x="324"/>
        <item m="1" x="326"/>
        <item m="1" x="298"/>
        <item m="1" x="262"/>
        <item m="1" x="300"/>
        <item m="1" x="105"/>
        <item m="1" x="80"/>
        <item m="1" x="44"/>
        <item m="1" x="422"/>
        <item m="1" x="132"/>
        <item m="1" x="346"/>
        <item m="1" x="350"/>
        <item m="1" x="401"/>
        <item m="1" x="373"/>
        <item m="1" x="423"/>
        <item m="1" x="398"/>
        <item m="1" x="40"/>
        <item m="1" x="420"/>
        <item m="1" x="42"/>
        <item m="1" x="78"/>
        <item m="1" x="104"/>
        <item m="1" x="81"/>
        <item m="1" x="260"/>
        <item m="1" x="263"/>
        <item m="1" x="299"/>
        <item m="1" x="325"/>
        <item m="1" x="351"/>
        <item m="1" x="376"/>
        <item m="1" x="77"/>
        <item m="1" x="297"/>
        <item m="1" x="322"/>
        <item m="1" x="348"/>
        <item m="1" x="375"/>
        <item m="1" x="103"/>
        <item m="1" x="377"/>
        <item m="1" x="257"/>
        <item m="1" x="424"/>
        <item m="1" x="400"/>
        <item m="1" x="2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0">
        <item m="1" x="9"/>
        <item m="1" x="4"/>
        <item m="1" x="3"/>
        <item m="1" x="6"/>
        <item m="1" x="5"/>
        <item m="1" x="7"/>
        <item m="1" x="2"/>
        <item m="1" x="8"/>
        <item x="0"/>
        <item x="1"/>
      </items>
    </pivotField>
    <pivotField axis="axisRow" compact="0" outline="0" subtotalTop="0" showAll="0" defaultSubtotal="0">
      <items count="28">
        <item x="1"/>
        <item m="1" x="14"/>
        <item m="1" x="11"/>
        <item m="1" x="8"/>
        <item m="1" x="4"/>
        <item m="1" x="18"/>
        <item m="1" x="9"/>
        <item m="1" x="17"/>
        <item m="1" x="22"/>
        <item m="1" x="21"/>
        <item m="1" x="6"/>
        <item m="1" x="13"/>
        <item m="1" x="27"/>
        <item m="1" x="10"/>
        <item m="1" x="20"/>
        <item m="1" x="7"/>
        <item m="1" x="16"/>
        <item m="1" x="3"/>
        <item x="0"/>
        <item m="1" x="2"/>
        <item m="1" x="19"/>
        <item m="1" x="26"/>
        <item m="1" x="12"/>
        <item m="1" x="5"/>
        <item m="1" x="24"/>
        <item m="1" x="25"/>
        <item m="1" x="23"/>
        <item m="1" x="15"/>
      </items>
    </pivotField>
    <pivotField compact="0" outline="0" subtotalTop="0" showAll="0" defaultSubtotal="0"/>
    <pivotField compact="0" outline="0" subtotalTop="0" showAll="0" defaultSubtotal="0"/>
    <pivotField name="Complete" compact="0" outline="0" showAll="0" defaultSubtotal="0"/>
    <pivotField compact="0" outline="0" showAll="0"/>
    <pivotField compact="0" outline="0" showAll="0"/>
    <pivotField axis="axisRow" compact="0" outline="0" showAll="0" defaultSubtotal="0">
      <items count="2">
        <item x="0"/>
        <item m="1" x="1"/>
      </items>
    </pivotField>
    <pivotField compact="0" outline="0" showAll="0"/>
    <pivotField axis="axisRow" compact="0" outline="0" subtotalTop="0" showAll="0" defaultSubtotal="0">
      <items count="2">
        <item x="0"/>
        <item m="1" x="1"/>
      </items>
    </pivotField>
    <pivotField compact="0" outline="0" showAll="0"/>
    <pivotField name="New" axis="axisPage" compact="0" outline="0" showAll="0" defaultSubtotal="0">
      <items count="3">
        <item x="2"/>
        <item x="0"/>
        <item x="1"/>
      </items>
    </pivotField>
    <pivotField compact="0" outline="0" showAll="0"/>
    <pivotField axis="axisPage" compact="0" outline="0" subtotalTop="0" showAll="0" defaultSubtotal="0">
      <items count="6">
        <item m="1" x="3"/>
        <item m="1" x="4"/>
        <item m="1" x="5"/>
        <item x="2"/>
        <item x="0"/>
        <item x="1"/>
      </items>
    </pivotField>
    <pivotField compact="0" outline="0" showAll="0"/>
  </pivotFields>
  <rowFields count="8">
    <field x="3"/>
    <field x="4"/>
    <field x="0"/>
    <field x="7"/>
    <field x="8"/>
    <field x="16"/>
    <field x="14"/>
    <field x="1"/>
  </rowFields>
  <rowItems count="14">
    <i>
      <x v="36"/>
      <x v="425"/>
      <x v="5"/>
      <x v="8"/>
      <x v="18"/>
      <x/>
      <x/>
      <x v="2"/>
    </i>
    <i>
      <x v="42"/>
      <x v="428"/>
      <x v="5"/>
      <x v="8"/>
      <x v="18"/>
      <x/>
      <x/>
      <x v="2"/>
    </i>
    <i>
      <x v="58"/>
      <x v="434"/>
      <x v="5"/>
      <x v="8"/>
      <x v="18"/>
      <x/>
      <x/>
      <x v="2"/>
    </i>
    <i>
      <x v="67"/>
      <x v="429"/>
      <x v="5"/>
      <x v="8"/>
      <x v="18"/>
      <x/>
      <x/>
      <x v="2"/>
    </i>
    <i>
      <x v="69"/>
      <x v="430"/>
      <x v="5"/>
      <x v="8"/>
      <x v="18"/>
      <x/>
      <x/>
      <x v="2"/>
    </i>
    <i>
      <x v="80"/>
      <x v="435"/>
      <x v="5"/>
      <x v="8"/>
      <x v="18"/>
      <x/>
      <x/>
      <x v="5"/>
    </i>
    <i>
      <x v="86"/>
      <x v="436"/>
      <x v="5"/>
      <x v="8"/>
      <x v="18"/>
      <x/>
      <x/>
      <x v="2"/>
    </i>
    <i>
      <x v="90"/>
      <x v="424"/>
      <x v="5"/>
      <x v="8"/>
      <x v="18"/>
      <x/>
      <x/>
      <x v="7"/>
    </i>
    <i>
      <x v="117"/>
      <x v="431"/>
      <x v="5"/>
      <x v="8"/>
      <x v="18"/>
      <x/>
      <x/>
      <x v="2"/>
    </i>
    <i>
      <x v="122"/>
      <x v="426"/>
      <x v="5"/>
      <x v="8"/>
      <x v="18"/>
      <x/>
      <x/>
      <x v="2"/>
    </i>
    <i>
      <x v="123"/>
      <x v="432"/>
      <x v="5"/>
      <x v="8"/>
      <x v="18"/>
      <x/>
      <x/>
      <x v="2"/>
    </i>
    <i>
      <x v="124"/>
      <x v="433"/>
      <x v="5"/>
      <x v="8"/>
      <x v="18"/>
      <x/>
      <x/>
      <x v="2"/>
    </i>
    <i>
      <x v="129"/>
      <x v="427"/>
      <x v="5"/>
      <x v="8"/>
      <x v="18"/>
      <x/>
      <x/>
      <x v="2"/>
    </i>
    <i t="grand">
      <x/>
    </i>
  </rowItems>
  <colItems count="1">
    <i/>
  </colItems>
  <pageFields count="3">
    <pageField fld="20" item="5" hier="-1"/>
    <pageField fld="2" item="1" hier="-1"/>
    <pageField fld="18" hier="-1"/>
  </pageFields>
  <dataFields count="1">
    <dataField name="求和项:Qty." fld="1" baseField="3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0-Test_Report/WH128085%20Odyssey%20NA%20LA%20SS%20DS%20PVT%20EDu14%20Pulse%20Transient%20Surge%20test%20report%20Rev%20B.xlsx" TargetMode="External"/><Relationship Id="rId21" Type="http://schemas.openxmlformats.org/officeDocument/2006/relationships/hyperlink" Target="0-Test_Report/WH131867%20Odyssey%20NA%20ALT%202019%20-%20Eval%20MP%20(Final)%20Test%20Report.xls" TargetMode="External"/><Relationship Id="rId63" Type="http://schemas.openxmlformats.org/officeDocument/2006/relationships/hyperlink" Target="0-Test_Report/WH129749%20and%20WH129814%20%20Odyssey%20PVT%20MDu55%20Vibrator%20Performance.xls" TargetMode="External"/><Relationship Id="rId159" Type="http://schemas.openxmlformats.org/officeDocument/2006/relationships/hyperlink" Target="0-Test_Report/WH127661%20Odyssey%20NA%20SS%20MD%20ALT%202019%20PVT%20(Final)%20Test%20Report.xls" TargetMode="External"/><Relationship Id="rId170" Type="http://schemas.openxmlformats.org/officeDocument/2006/relationships/hyperlink" Target="0-Test_Report/Odyssey_A45%20PVT%20pre%20test_RF127453.xlsx" TargetMode="External"/><Relationship Id="rId226" Type="http://schemas.openxmlformats.org/officeDocument/2006/relationships/hyperlink" Target="0-Test_Report/WH126082%20Odyssey%20APEM%20EU%20PRC%20SS%20DS%20DVT1C%20MDu44%20Shield_and_PCB_Robustness%20Test%20Report.xls" TargetMode="External"/><Relationship Id="rId268" Type="http://schemas.openxmlformats.org/officeDocument/2006/relationships/hyperlink" Target="0-Test_Report/Odyssey%20EU%20DVT1%20pre%20test_RF124872.xlsx" TargetMode="External"/><Relationship Id="rId32" Type="http://schemas.openxmlformats.org/officeDocument/2006/relationships/hyperlink" Target="0-Test_Report/WH131069%20Odyssey%20NA%20ALT%202019%20-%20Eval%20MP%20(Final)%20Test%20Report.xls" TargetMode="External"/><Relationship Id="rId74" Type="http://schemas.openxmlformats.org/officeDocument/2006/relationships/hyperlink" Target="0-Test_Report/WH129268%20odyssey%20apemeuprc%20ssds%20dvt2b%20dvt-eval%20m.pptx" TargetMode="External"/><Relationship Id="rId128" Type="http://schemas.openxmlformats.org/officeDocument/2006/relationships/hyperlink" Target="0-Test_Report/TMO%206531%20Tumbler%20Test%20(Phablets)%20Report%20(PVT).xlsx" TargetMode="External"/><Relationship Id="rId5" Type="http://schemas.openxmlformats.org/officeDocument/2006/relationships/hyperlink" Target="0-Test_Report/WH135319%20Voyager%20(glass)MDu64%20-%20Flip%20Cycling%20Test%20report.xlsx" TargetMode="External"/><Relationship Id="rId95" Type="http://schemas.openxmlformats.org/officeDocument/2006/relationships/hyperlink" Target="0-Test_Report/WH128487%20Odyssey%20PVT%20MDu21%20IO%20Connector_Rotational%20Electrical%20Continuity%20and%20Mechanical%20Engagement%20Test%20report%20Rev%20O.xlsx" TargetMode="External"/><Relationship Id="rId160" Type="http://schemas.openxmlformats.org/officeDocument/2006/relationships/hyperlink" Target="0-Test_Report/ATT%2012%20Tumbler%20Test%20%20Report%20(PVT).xlsx" TargetMode="External"/><Relationship Id="rId181" Type="http://schemas.openxmlformats.org/officeDocument/2006/relationships/hyperlink" Target="0-Test_Report/WH127043%20Odyssey%20NA%20LA%20SS%20DS%20DVT2%20MDu11%20Contact%20Height%20Post%20-%20Environmental%20Measurements%20test%20report.xlsx" TargetMode="External"/><Relationship Id="rId216" Type="http://schemas.openxmlformats.org/officeDocument/2006/relationships/hyperlink" Target="0-Test_Report/Colored_Glass_Inlay_Validation(5_7%20update)%20RF126160.xlsx" TargetMode="External"/><Relationship Id="rId237" Type="http://schemas.openxmlformats.org/officeDocument/2006/relationships/hyperlink" Target="0-Test_Report/WH125466%20Odyssey%20NA%20LA%20SS%20DS%20DVT1B%20MXc20-Eval%20Water%20Submersion%20Test%20Report%20Rev.O.xlsx" TargetMode="External"/><Relationship Id="rId258" Type="http://schemas.openxmlformats.org/officeDocument/2006/relationships/hyperlink" Target="0-Test_Report/WH125242%20Odyssey%20NALA%20SSDS%20DVT1%20DVT1C%20EPr04%20Prox-%20Sensor%20Condensation%20Immunity%20Test%20Report%20Rev.O.xlsx" TargetMode="External"/><Relationship Id="rId22" Type="http://schemas.openxmlformats.org/officeDocument/2006/relationships/hyperlink" Target="0-Test_Report/WH131772%20Odyssey%20APEMEUPRC%20SSDS%20PVT%20DVT-Eval%20MDu75%20transportation%20Test%20Report%20Rev.O.pptx" TargetMode="External"/><Relationship Id="rId43" Type="http://schemas.openxmlformats.org/officeDocument/2006/relationships/hyperlink" Target="0-Test_Report/Golden%20Unit%20Selection_Aug20%20RF130488.xlsx" TargetMode="External"/><Relationship Id="rId64" Type="http://schemas.openxmlformats.org/officeDocument/2006/relationships/hyperlink" Target="0-Test_Report/WH129744%20Odyssey%20MDU30.xls" TargetMode="External"/><Relationship Id="rId118" Type="http://schemas.openxmlformats.org/officeDocument/2006/relationships/hyperlink" Target="0-Test_Report/WH128084%20Odyssey%20NA%20%20PVT%20EDu13%20Battery%20Performance%20at%20Various%20Temperature%20test%20repot%20Rev%20O.xlsx" TargetMode="External"/><Relationship Id="rId139" Type="http://schemas.openxmlformats.org/officeDocument/2006/relationships/hyperlink" Target="0-Test_Report/TMO%20483007%20SIM%20SD%20Tray%20Removal%20Tool%20Report%20(PVT).xlsx" TargetMode="External"/><Relationship Id="rId85" Type="http://schemas.openxmlformats.org/officeDocument/2006/relationships/hyperlink" Target="0-Test_Report/WH128836%20MDU30%201.7z" TargetMode="External"/><Relationship Id="rId150" Type="http://schemas.openxmlformats.org/officeDocument/2006/relationships/hyperlink" Target="0-Test_Report/ATT%2017%20Bend%20Test%20Report%20(PVT).xlsx" TargetMode="External"/><Relationship Id="rId171" Type="http://schemas.openxmlformats.org/officeDocument/2006/relationships/hyperlink" Target="0-Test_Report/Odyssey_A46%20PVT%20pre%20test_RF127452.xlsx" TargetMode="External"/><Relationship Id="rId192" Type="http://schemas.openxmlformats.org/officeDocument/2006/relationships/hyperlink" Target="0-Test_Report/Odyssey%20NA%20DVT2%20pre%20test_RF126918.xlsx" TargetMode="External"/><Relationship Id="rId206" Type="http://schemas.openxmlformats.org/officeDocument/2006/relationships/hyperlink" Target="0-Test_Report/WH126515%20Odyssey%20APEM%20EU%20PRC%20DVT-%20Eval%20MDu44%20Shie.xls" TargetMode="External"/><Relationship Id="rId227" Type="http://schemas.openxmlformats.org/officeDocument/2006/relationships/hyperlink" Target="0-Test_Report/WH126081%20Odyssey%20APEM%20EU%20PRC%20DVT1C%20MDu76%20Anti-Smudge%20Abrasion%20Resistance%20Test%20Report%20Rev%20O.xls" TargetMode="External"/><Relationship Id="rId248" Type="http://schemas.openxmlformats.org/officeDocument/2006/relationships/hyperlink" Target="0-Test_Report/WH125253%20Odyssey%20NA%20MXc06%20Tumbler%20Test%20Report%20Rev.A.xlsx" TargetMode="External"/><Relationship Id="rId269" Type="http://schemas.openxmlformats.org/officeDocument/2006/relationships/hyperlink" Target="0-Test_Report/Odyssey%20NA%20RF124834%20DVT1A%20SAR%20Debug%20Test.xlsx" TargetMode="External"/><Relationship Id="rId12" Type="http://schemas.openxmlformats.org/officeDocument/2006/relationships/hyperlink" Target="0-Test_Report/BYD%20Golden%20Unit%20Selection_Oct18%20RF133054.xlsx" TargetMode="External"/><Relationship Id="rId33" Type="http://schemas.openxmlformats.org/officeDocument/2006/relationships/hyperlink" Target="0-Test_Report/WH131068%20Odyssey%20NA%20ALT%202019%20-%20Eval%20MP%20(Loop3)%20Test%20Report.xls" TargetMode="External"/><Relationship Id="rId108" Type="http://schemas.openxmlformats.org/officeDocument/2006/relationships/hyperlink" Target="0-Test_Report/WH128295%20Odyssey%20NALA%20SSDS%20PVT%20MDu21%20-%20IO%20Connector%20Rotational%20Electrical%20Continuity%20Test%20Report.xlsx" TargetMode="External"/><Relationship Id="rId129" Type="http://schemas.openxmlformats.org/officeDocument/2006/relationships/hyperlink" Target="0-Test_Report/TMO%206534%20Drop%20Test%20(Phablets)%20Report%20(PVT).xlsx" TargetMode="External"/><Relationship Id="rId54" Type="http://schemas.openxmlformats.org/officeDocument/2006/relationships/hyperlink" Target="0-Test_Report/WH130138%20Odyssey%20NA%20LA%20SS%20DS%20OK2Pilot%20MDu14-C%20Particulate%20Motility%20Test%20Report%20Rev.O.xls" TargetMode="External"/><Relationship Id="rId75" Type="http://schemas.openxmlformats.org/officeDocument/2006/relationships/hyperlink" Target="0-Test_Report/Odyssey%20NA%20RF129251%20DVT2%20Debug%20Test.xlsx" TargetMode="External"/><Relationship Id="rId96" Type="http://schemas.openxmlformats.org/officeDocument/2006/relationships/hyperlink" Target="0-Test_Report/Blush%20Gold%20and%20Tin%20Silver%20Housing%20Unit_June25_RF128484.xlsx" TargetMode="External"/><Relationship Id="rId140" Type="http://schemas.openxmlformats.org/officeDocument/2006/relationships/hyperlink" Target="0-Test_Report/TMO%20483006%20SIM%20SD%20Card%20Insertion%20%20Removal%20Durability%20Report%20(PVT).xlsx" TargetMode="External"/><Relationship Id="rId161" Type="http://schemas.openxmlformats.org/officeDocument/2006/relationships/hyperlink" Target="0-Test_Report/ATT%2011%20Drop%20Test%20Report%20(PVT).xlsx" TargetMode="External"/><Relationship Id="rId182" Type="http://schemas.openxmlformats.org/officeDocument/2006/relationships/hyperlink" Target="0-Test_Report/WH127042%20Odyssey%20NA%20LA%20SS%20DS%20DVT2%20MDu14%20Particulate%20Motility%20Test%20Report%20Rev.O.xls" TargetMode="External"/><Relationship Id="rId217" Type="http://schemas.openxmlformats.org/officeDocument/2006/relationships/hyperlink" Target="0-Test_Report/WH126115%20Odyssey%20DVT%20MDu64%20Flip%20Cycling%20Test%20report.xls" TargetMode="External"/><Relationship Id="rId6" Type="http://schemas.openxmlformats.org/officeDocument/2006/relationships/hyperlink" Target="0-Test_Report/WH135403%20Odyssey%20NA%20MP%20MDu64%20-%20Flip%20Cycling%20Test%20Report.xlsx" TargetMode="External"/><Relationship Id="rId238" Type="http://schemas.openxmlformats.org/officeDocument/2006/relationships/hyperlink" Target="0-Test_Report/WH125465%20Odyssey%20NA%20LA%20SS%20DS%20DVT1B%20MXc21-Eval%20%20Water%20Spray%20Test%20Report%20Rev.O.xls" TargetMode="External"/><Relationship Id="rId259" Type="http://schemas.openxmlformats.org/officeDocument/2006/relationships/hyperlink" Target="0-Test_Report/WH125241%20Odyssey%20NA%20SS%20DVT1C%20EDu16%20-%20Charger%20Overvoltage%20test.xlsx" TargetMode="External"/><Relationship Id="rId23" Type="http://schemas.openxmlformats.org/officeDocument/2006/relationships/hyperlink" Target="0-Test_Report/WH131771%20Odyssey%20APEMEUPRC%20SSDS%20PVT%20DVT-Eval%20MDu75%20transportation%20Test%20Report%20Rev.O.pptx" TargetMode="External"/><Relationship Id="rId119" Type="http://schemas.openxmlformats.org/officeDocument/2006/relationships/hyperlink" Target="0-Test_Report/WiFi_5GHz_2.4GHz_TRP_June25_RF128083.xlsx" TargetMode="External"/><Relationship Id="rId270" Type="http://schemas.openxmlformats.org/officeDocument/2006/relationships/hyperlink" Target="0-Test_Report/Odyssey%20EU%20DVT1%20pre%20test_RF124833.xlsx" TargetMode="External"/><Relationship Id="rId44" Type="http://schemas.openxmlformats.org/officeDocument/2006/relationships/hyperlink" Target="0-Test_Report/WiFi_5GHz_FactoryIssues_Aug19%20%20RF130447(updated%20SN).xlsx" TargetMode="External"/><Relationship Id="rId65" Type="http://schemas.openxmlformats.org/officeDocument/2006/relationships/hyperlink" Target="0-Test_Report/Odyssey_RF129737_DTAG_TRP_HR_PA.xlsx" TargetMode="External"/><Relationship Id="rId86" Type="http://schemas.openxmlformats.org/officeDocument/2006/relationships/hyperlink" Target="0-Test_Report/WH128803%20Odyssey%20NA%20PVT%20DVT%20MXc05%20Eval%20Water%20Ingress%20Drip%20Test%20Report%20Rev.A.xls" TargetMode="External"/><Relationship Id="rId130" Type="http://schemas.openxmlformats.org/officeDocument/2006/relationships/hyperlink" Target="0-Test_Report/TMO%20480581%20Rough%20Surface%20Stress%20Report%20(PVT).xlsx" TargetMode="External"/><Relationship Id="rId151" Type="http://schemas.openxmlformats.org/officeDocument/2006/relationships/hyperlink" Target="0-Test_Report/ATT%2026%20Sand%20and%20Dust%20Exposure%20Test%20Report(PVT).xls" TargetMode="External"/><Relationship Id="rId172" Type="http://schemas.openxmlformats.org/officeDocument/2006/relationships/hyperlink" Target="0-Test_Report/WH127285%20Odyssey%20NA%20%20LA%20SS%20DS%20EDu13%20Eval%20%20Battery%20Performance%20at%20Various%20Temperature%20test%20repot%20Rev%20O.xlsx" TargetMode="External"/><Relationship Id="rId193" Type="http://schemas.openxmlformats.org/officeDocument/2006/relationships/hyperlink" Target="0-Test_Report/WH126873%20Odyssey(30um)%20NA%20LA%20SS%20DS%20DVT2%20DVT-Eval%20MDu77%20Vibration%20Abrasion%20Test%20Report.xls" TargetMode="External"/><Relationship Id="rId207" Type="http://schemas.openxmlformats.org/officeDocument/2006/relationships/hyperlink" Target="0-Test_Report/WH126503%20Odyssey%20APEMEUPRC%20SSDS%20DVT1C%20MDu55%20-%20Vibrator%20Strength%20Test%20Report%20%20%20.xls" TargetMode="External"/><Relationship Id="rId228" Type="http://schemas.openxmlformats.org/officeDocument/2006/relationships/hyperlink" Target="0-Test_Report/WH126080%20Odyssey%20APEM%20EU%20PRC%20SS%20DS%20DVT1C%20MXc03%20-%20Power%20Cuts%20Impact%20Test%20report.xls" TargetMode="External"/><Relationship Id="rId249" Type="http://schemas.openxmlformats.org/officeDocument/2006/relationships/hyperlink" Target="0-Test_Report/WH125252%20Odyssey%20NALA%20SS%20DVT1C%20MDu16%20Flip%20or%20Slider%20Hyper-extension%20Test%20report.xls" TargetMode="External"/><Relationship Id="rId13" Type="http://schemas.openxmlformats.org/officeDocument/2006/relationships/hyperlink" Target="0-Test_Report/WH132822%20Odyssey%20NA%20SS%20MP%20MDu64%20-%20Flip%20Cycling%20Test%20-1.xlsx" TargetMode="External"/><Relationship Id="rId109" Type="http://schemas.openxmlformats.org/officeDocument/2006/relationships/hyperlink" Target="0-Test_Report/WH128238%20Odyssey%20NA%20LA%20SS%20DS%20PVT%20DVT%20MDu74%20Touch%20Screen_Back%20Cover%20Adhesion%20Test%20report%20Rev%20O.xlsx" TargetMode="External"/><Relationship Id="rId260" Type="http://schemas.openxmlformats.org/officeDocument/2006/relationships/hyperlink" Target="0-Test_Report/WH125240%20Odyssey%20NA%20SS%20DVT1C%20EDu11%20Shorted%20Charger%20Test.xlsx" TargetMode="External"/><Relationship Id="rId34" Type="http://schemas.openxmlformats.org/officeDocument/2006/relationships/hyperlink" Target="0-Test_Report/WH131067%20Odyssey%20NA%20LA%20SS%20MP%20MDu64%20Flip%20Cycling%20Test%20report.xls" TargetMode="External"/><Relationship Id="rId55" Type="http://schemas.openxmlformats.org/officeDocument/2006/relationships/hyperlink" Target="0-Test_Report\WH130137%20Odyssey%20NA%20CDVT%20MXc05%20-%20Water%20Ingress%20Drip%20Test%20Report%20Rev.A.xls" TargetMode="External"/><Relationship Id="rId76" Type="http://schemas.openxmlformats.org/officeDocument/2006/relationships/hyperlink" Target="0-Test_Report/WH129217%20Odyssey%20PVT%20MDu55%20Vibrator%20Performance%20test%20report%20Rev%20D.xls" TargetMode="External"/><Relationship Id="rId97" Type="http://schemas.openxmlformats.org/officeDocument/2006/relationships/hyperlink" Target="0-Test_Report/WH128419%20Odyssey%20NALA%20SSDS%20PVT%20MXc03%20-%20Power%20Cuts%20Impact%20Test%20Report.xls" TargetMode="External"/><Relationship Id="rId120" Type="http://schemas.openxmlformats.org/officeDocument/2006/relationships/hyperlink" Target="0-Test_Report/WH128073%20%20Odyssey%20NA%20LA%20SS%20DS%20PVT%20MXc20-Eval%20Water%20Submersion%20Test%20Report%20Rev.O.xlsx" TargetMode="External"/><Relationship Id="rId141" Type="http://schemas.openxmlformats.org/officeDocument/2006/relationships/hyperlink" Target="0-Test_Report/TMO%206507%20Overheating%20Test%20Report%20(PVT).xlsx" TargetMode="External"/><Relationship Id="rId7" Type="http://schemas.openxmlformats.org/officeDocument/2006/relationships/hyperlink" Target="0-Test_Report/SB%20units%20test%20plan_%20RF135274.xlsx" TargetMode="External"/><Relationship Id="rId162" Type="http://schemas.openxmlformats.org/officeDocument/2006/relationships/hyperlink" Target="0-Test_Report/WH127610%20Odyssey%20APEM%20EU%20PRC%20SS%20DS%20DVT2B%20MDu75-Eval%20-transportation%20Test%20Report%20Rev.O.pptx" TargetMode="External"/><Relationship Id="rId183" Type="http://schemas.openxmlformats.org/officeDocument/2006/relationships/hyperlink" Target="0-Test_Report/WH127041%20Odyssey%20NA%20LA%20SS%20DS%20DVT2%20MXc06%20Eval%20-%20Tumbler%20Test%20Report%20%20%20.xlsx" TargetMode="External"/><Relationship Id="rId218" Type="http://schemas.openxmlformats.org/officeDocument/2006/relationships/hyperlink" Target="0-Test_Report/WH126093%20Odyssey%20DVT1C%20MDu28%20Connector%20Plug%20Drop%20and%20Load%20Robustness%20Rev%20B.xls" TargetMode="External"/><Relationship Id="rId239" Type="http://schemas.openxmlformats.org/officeDocument/2006/relationships/hyperlink" Target="0-Test_Report/WH125464%20Odyssey%20NA%20DVT1B%20MXc05-Eval%20Water%20Ingress%20Drip%20Test%20Report.xls" TargetMode="External"/><Relationship Id="rId250" Type="http://schemas.openxmlformats.org/officeDocument/2006/relationships/hyperlink" Target="0-Test_Report/WH125251%20Odyssey%20NALA%20SSDS%20DVT1C%20MDu18%20Flip_Slider%20Robustness%20.xls" TargetMode="External"/><Relationship Id="rId271" Type="http://schemas.openxmlformats.org/officeDocument/2006/relationships/hyperlink" Target="0-Test_Report/WH124713%20Odyssey%20DVT1A%20MDu23%20Connector%20Interface%20Sideload%20Cycling%20Test%20report%20Rev%20O%20.xlsx" TargetMode="External"/><Relationship Id="rId24" Type="http://schemas.openxmlformats.org/officeDocument/2006/relationships/hyperlink" Target="0-Test_Report/WH131694Odyssey%20APEM%20PVT%20MDu75%20Eval%20-%20transportation%20Test%20Report.pptx" TargetMode="External"/><Relationship Id="rId45" Type="http://schemas.openxmlformats.org/officeDocument/2006/relationships/hyperlink" Target="0-Test_Report/WH130356%20Odyssey%20temperature%20Tests%20Report%2002.xls" TargetMode="External"/><Relationship Id="rId66" Type="http://schemas.openxmlformats.org/officeDocument/2006/relationships/hyperlink" Target="0-Test_Report/WH129704%20MDu55%20Eval%20-%20Vibrator%20Strength%20Test%20Test%20Report%20%20%20.xls" TargetMode="External"/><Relationship Id="rId87" Type="http://schemas.openxmlformats.org/officeDocument/2006/relationships/hyperlink" Target="0-Test_Report/WH128741%20Odyssey%20NA%20%20PVT%20MDu64%20-%20Flip%20Eval%20Cycling%20Test%20Test.xlsx" TargetMode="External"/><Relationship Id="rId110" Type="http://schemas.openxmlformats.org/officeDocument/2006/relationships/hyperlink" Target="0-Test_Report/WH128213%20Odyssey%20NALA%20SS%20DS%20PVT%20DVT%20MDu51%20ED23899%20Impact%20Exterior%20Surfaces..xlsx" TargetMode="External"/><Relationship Id="rId131" Type="http://schemas.openxmlformats.org/officeDocument/2006/relationships/hyperlink" Target="0-Test_Report/WH127968%20Odyssey%20NA%20LA%20SS%20PVT%20MDu64%20Flip%20Cycling%20Test%20report.xls" TargetMode="External"/><Relationship Id="rId152" Type="http://schemas.openxmlformats.org/officeDocument/2006/relationships/hyperlink" Target="0-Test_Report/ATT%2024%20LDI%20Trip%20Test%20Report%20(PVT).xlsx" TargetMode="External"/><Relationship Id="rId173" Type="http://schemas.openxmlformats.org/officeDocument/2006/relationships/hyperlink" Target="0-Test_Report/Odyssey_A47%20PVT%20pre%20test_RF127283.xlsx" TargetMode="External"/><Relationship Id="rId194" Type="http://schemas.openxmlformats.org/officeDocument/2006/relationships/hyperlink" Target="0-Test_Report/WH126872%20Odyssey(25um)%20NA%20LA%20SS%20DS%20DVT2%20DVT-Eval%20MDu77%20Vibration%20Abrasion%20Test%20Report.xls" TargetMode="External"/><Relationship Id="rId208" Type="http://schemas.openxmlformats.org/officeDocument/2006/relationships/hyperlink" Target="0-Test_Report/WH126435%20Odyssey%20APEM%20EU%20PRC%20SS%20DS%20DVT1C%20TMO%206523%20Surfaces%20Stresses%20Test%20Report%202020%20Rev%20O.xlsx" TargetMode="External"/><Relationship Id="rId229" Type="http://schemas.openxmlformats.org/officeDocument/2006/relationships/hyperlink" Target="0-Test_Report/WH126079%20Odyssey%20APEM%20EU%20PRC%20SSDS%20DVT1C%20DVT%20MDu59%20First%20Surface%20Finishes_Paint%20Adhesion%20Test%20Report%20Rev%20O.xls" TargetMode="External"/><Relationship Id="rId240" Type="http://schemas.openxmlformats.org/officeDocument/2006/relationships/hyperlink" Target="0-Test_Report/Odyssey%20NA%20DVT1B%20pre%20test_RF125375.xlsx" TargetMode="External"/><Relationship Id="rId261" Type="http://schemas.openxmlformats.org/officeDocument/2006/relationships/hyperlink" Target="0-Test_Report/WH125239%20Odyssey%20%20DVT1C%20EDu06%20Radiation%20Test%20Report%20Rev%20A.xls" TargetMode="External"/><Relationship Id="rId14" Type="http://schemas.openxmlformats.org/officeDocument/2006/relationships/hyperlink" Target="0-Test_Report/Odyssey%20RF132504%20OK2SHIP%20Debug%20Test.xlsx" TargetMode="External"/><Relationship Id="rId35" Type="http://schemas.openxmlformats.org/officeDocument/2006/relationships/hyperlink" Target="0-Test_Report/Blush%20Gold_TCC_Sep01%20RF131035.xlsx" TargetMode="External"/><Relationship Id="rId56" Type="http://schemas.openxmlformats.org/officeDocument/2006/relationships/hyperlink" Target="0-Test_Report/WH130136%20Odyssey%20NALA%20SSDS%20OK2Pilot%20EDu06%20Radiation%20Test%20Report%20Rev%20A.xls" TargetMode="External"/><Relationship Id="rId77" Type="http://schemas.openxmlformats.org/officeDocument/2006/relationships/hyperlink" Target="0-Test_Report/WH129216%20Odyssey%20PVT%20MDu76%20Anti-Smudge%20Abrasion%20Resistance%20Test%20Report%20Rev%20O.xls" TargetMode="External"/><Relationship Id="rId100" Type="http://schemas.openxmlformats.org/officeDocument/2006/relationships/hyperlink" Target="0-Test_Report/WH128415%20Odyssey%20NA%20SS%20MD%20ALT%202019%20-%20Eval%20PVT%20(Final)%20Test%20Report.xls" TargetMode="External"/><Relationship Id="rId8" Type="http://schemas.openxmlformats.org/officeDocument/2006/relationships/hyperlink" Target="0-Test_Report/WH133765%20Odyssey%20PRC%20%20C-ALT%202019%20%20(Final)%20Test%20Report.xls" TargetMode="External"/><Relationship Id="rId98" Type="http://schemas.openxmlformats.org/officeDocument/2006/relationships/hyperlink" Target="0-Test_Report/WH128418%20Odyssey%20NALA%20SS%20DS%20PVT%20DVT%20MDu59%20First%20Surface%20Finishes_Paint%20Adhesion%20Test%20Report%20Rev%20O.xls" TargetMode="External"/><Relationship Id="rId121" Type="http://schemas.openxmlformats.org/officeDocument/2006/relationships/hyperlink" Target="0-Test_Report/WH128072%20Odyssey%20NA%20LA%20SS%20DS%20PVT%20TMO%206547%20Liquid%20Ingress%20Spill%20Test%20Report%202020%20Rev%20O.xlsx" TargetMode="External"/><Relationship Id="rId142" Type="http://schemas.openxmlformats.org/officeDocument/2006/relationships/hyperlink" Target="0-Test_Report/TMO%206527%20Switch%20Actuations%20Test%20Report%20(PVT).xlsx" TargetMode="External"/><Relationship Id="rId163" Type="http://schemas.openxmlformats.org/officeDocument/2006/relationships/hyperlink" Target="0-Test_Report/WH127590%20Odyssey(G0)%20MDu45%20SIM%20and%20Memory%20Card%20Insertion%20and%20Removal%20and%20Robustness%20Rev%20A.xls" TargetMode="External"/><Relationship Id="rId184" Type="http://schemas.openxmlformats.org/officeDocument/2006/relationships/hyperlink" Target="0-Test_Report/WH127040%20Odyssey%20NA%20DVT2%20DVT%20MXc20-Eval%20Water%20Submersion%20Test%20Report%20Rev.O.xlsx" TargetMode="External"/><Relationship Id="rId219" Type="http://schemas.openxmlformats.org/officeDocument/2006/relationships/hyperlink" Target="0-Test_Report/WH126090%20Odyssey%20AP%20EMEU%20PRC%20SSDS%20DVT1C%20MDu56-Eval%20Abrasion%20Resistance%20Test.xls" TargetMode="External"/><Relationship Id="rId230" Type="http://schemas.openxmlformats.org/officeDocument/2006/relationships/hyperlink" Target="0-Test_Report/WH125958%20Odyssey%20APEM%20EU%20PRC%20SS%20DS%20DVT1C%20MDu21%20IO%20Connector_Rotational%20Electrical%20Continuity%20and%20Mechanical%20Engagement%20Test%20report.xlsx" TargetMode="External"/><Relationship Id="rId251" Type="http://schemas.openxmlformats.org/officeDocument/2006/relationships/hyperlink" Target="0-Test_Report/WH125250%20Odyssey%20NA%20DVT1C%20MDu20%20Connector%20Insertion%20Cycling%20Test%20Report%20Rev%20O.xlsx" TargetMode="External"/><Relationship Id="rId25" Type="http://schemas.openxmlformats.org/officeDocument/2006/relationships/hyperlink" Target="0-Test_Report/WH131641%20Odyssey%20NA%20SS%20MP%20MDu64%20-%20Flip%20Cycling%20Test%20Test.xlsx" TargetMode="External"/><Relationship Id="rId46" Type="http://schemas.openxmlformats.org/officeDocument/2006/relationships/hyperlink" Target="0-Test_Report/WH130355%20Odyssey%20APEMEUPRC%20SSDS%20DVT2B%20DVT-Eval%20MDu75%20transportation%20Test%20Report%20Rev.O.pptx" TargetMode="External"/><Relationship Id="rId67" Type="http://schemas.openxmlformats.org/officeDocument/2006/relationships/hyperlink" Target="0-Test_Report/WiFi_5GHz_FactoryIssues_Aug08_RF129682.xlsx" TargetMode="External"/><Relationship Id="rId272" Type="http://schemas.openxmlformats.org/officeDocument/2006/relationships/hyperlink" Target="0-Test_Report/WH124712%20Odyssey%20%20DVT1A%20MDu28%20Connector%20Plug%20Drop%20and%20Load%20Robustness%20Rev%20B.xls" TargetMode="External"/><Relationship Id="rId88" Type="http://schemas.openxmlformats.org/officeDocument/2006/relationships/hyperlink" Target="0-Test_Report/WH128683%20Odyssey%20PVT%20MDU30%20test%20report.7z" TargetMode="External"/><Relationship Id="rId111" Type="http://schemas.openxmlformats.org/officeDocument/2006/relationships/hyperlink" Target="0-Test_Report/WH128212%20Odyssey%20NALA%20SS%20DS%20PVT%20DVT%20MDu45%20SIM%20and%20Memory%20Card%20Insertion%20and%20Removal%20and%20Robustness%20Rev%20A.xls" TargetMode="External"/><Relationship Id="rId132" Type="http://schemas.openxmlformats.org/officeDocument/2006/relationships/hyperlink" Target="0-Test_Report/WiFi_5GHz_TRP_forB46_RF127943.xlsx" TargetMode="External"/><Relationship Id="rId153" Type="http://schemas.openxmlformats.org/officeDocument/2006/relationships/hyperlink" Target="0-Test_Report/ATT%2023%20Water%20Ingress%20Test%20Report%20(PVT).xlsx" TargetMode="External"/><Relationship Id="rId174" Type="http://schemas.openxmlformats.org/officeDocument/2006/relationships/hyperlink" Target="0-Test_Report/Odyssey%20ATT_A4A%20PVT%20pre%20test_RF127282.xlsx" TargetMode="External"/><Relationship Id="rId195" Type="http://schemas.openxmlformats.org/officeDocument/2006/relationships/hyperlink" Target="0-Test_Report/WH126871%20Odyssey(20um)%20NA%20LA%20SS%20DS%20DVT2%20DVT-Eval%20MDu77%20Vibration%20Abrasion%20Test%20Report.xls" TargetMode="External"/><Relationship Id="rId209" Type="http://schemas.openxmlformats.org/officeDocument/2006/relationships/hyperlink" Target="0-Test_Report/Odyssey%20NA%20DVT2_A28%20pre%20test_RF126401.xlsx" TargetMode="External"/><Relationship Id="rId220" Type="http://schemas.openxmlformats.org/officeDocument/2006/relationships/hyperlink" Target="0-Test_Report/WH126089%20Odyssey%20APEMEUPRC%20SSDS%20DVT1C%20MDu42%20External%20Lens%20Scratch%20Resistance%20Test%20Report%20Rev%20O.xls" TargetMode="External"/><Relationship Id="rId241" Type="http://schemas.openxmlformats.org/officeDocument/2006/relationships/hyperlink" Target="0-Test_Report/Odyssey%20NA%20DVT1B%20pre%20test_RF125374.xlsx" TargetMode="External"/><Relationship Id="rId15" Type="http://schemas.openxmlformats.org/officeDocument/2006/relationships/hyperlink" Target="0-Test_Report/RF132398%20for%20Odyssey%20TMO%20FAI%20(Gold)%20B66%20TRP%20testing.xlsx" TargetMode="External"/><Relationship Id="rId36" Type="http://schemas.openxmlformats.org/officeDocument/2006/relationships/hyperlink" Target="0-Test_Report/WH130896%20Odyssey%20NA%20DVT%20MDu74%20-%20Touch%20Screen%20%20Back%20Cover%20Adhesion%20Test.xlsx" TargetMode="External"/><Relationship Id="rId57" Type="http://schemas.openxmlformats.org/officeDocument/2006/relationships/hyperlink" Target="0-Test_Report/WH130135%20Odyssey%20NALA%20SS%20DS%20OK2Pilot%20DVT%20MDu45-C%20SIM%20and%20Memory%20Card%20Insertion%20and%20Removal%20and%20Robustness%20Rev%20A.xls" TargetMode="External"/><Relationship Id="rId262" Type="http://schemas.openxmlformats.org/officeDocument/2006/relationships/hyperlink" Target="0-Test_Report/WH125238%20Odyssey%20NA%20LA%20SS%20DS%20DVT1C%20%20EDu14%20Pulse%20Transient%20Surge%20test%20report%20Rev%20B.xlsx" TargetMode="External"/><Relationship Id="rId78" Type="http://schemas.openxmlformats.org/officeDocument/2006/relationships/hyperlink" Target="0-Test_Report/WH129215%20Odyssey%20%20PVT%20DVT%20MDu77%20Vibration%20Abrasion%20Test%20Report.xls" TargetMode="External"/><Relationship Id="rId99" Type="http://schemas.openxmlformats.org/officeDocument/2006/relationships/hyperlink" Target="0-Test_Report/WH128416%20Odyssey%20NA%20MDu77%20Vibration%20Abrasion%20Test%20Report.xls" TargetMode="External"/><Relationship Id="rId101" Type="http://schemas.openxmlformats.org/officeDocument/2006/relationships/hyperlink" Target="0-Test_Report/WH128303%20Odyssey%20PVT%20MDu78%20SiC%20scratch%20drop%20Test%20Report%20Rev%20O.xlsx" TargetMode="External"/><Relationship Id="rId122" Type="http://schemas.openxmlformats.org/officeDocument/2006/relationships/hyperlink" Target="0-Test_Report/WH128071%20Odyssey%20NA%20SS%20MD%20ALT%202019%20-%20Eval%20DVT2%20(Final)%20Test%20pic.ppt" TargetMode="External"/><Relationship Id="rId143" Type="http://schemas.openxmlformats.org/officeDocument/2006/relationships/hyperlink" Target="0-Test_Report/TMO%206540%20Human%20Compression%20Stress%20Test%20Report%20(PVT).xlsx" TargetMode="External"/><Relationship Id="rId164" Type="http://schemas.openxmlformats.org/officeDocument/2006/relationships/hyperlink" Target="0-Test_Report/WH127589%20Odyssey(G7)%20MDu45-Eval%20SIM%20and%20Memory%20Card%20Insertion%20and%20Removal%20Test%20Report%20Rev%20O.xls" TargetMode="External"/><Relationship Id="rId185" Type="http://schemas.openxmlformats.org/officeDocument/2006/relationships/hyperlink" Target="0-Test_Report/WH127039%20Odyssey%20NALA%20SS%20DS%20DVT2%20EDu09-Eval%20RAM%20Integrity%20Test.xls" TargetMode="External"/><Relationship Id="rId9" Type="http://schemas.openxmlformats.org/officeDocument/2006/relationships/hyperlink" Target="0-Test_Report/Odyssey%20RF%20screening_RF133661.xlsx" TargetMode="External"/><Relationship Id="rId210" Type="http://schemas.openxmlformats.org/officeDocument/2006/relationships/hyperlink" Target="0-Test_Report/Odyssey%20NA%20DVT2_A2A%20pre%20test_RF126400.xlsx" TargetMode="External"/><Relationship Id="rId26" Type="http://schemas.openxmlformats.org/officeDocument/2006/relationships/hyperlink" Target="0-Test_Report/WH139383%20BerlinNA21%20mmW%20VZW%20SS%20DVT1%20MDu75%20transportation%20test.pptx" TargetMode="External"/><Relationship Id="rId231" Type="http://schemas.openxmlformats.org/officeDocument/2006/relationships/hyperlink" Target="0-Test_Report/WH125957%20Odyssey%20APEM%20EU%20PRC%20SS%20DS%20DVT1C%20MDu31%20Side%20button%20tactile%20and%20life%20cycling%20Test%20Report%20Rev%20O.xls" TargetMode="External"/><Relationship Id="rId252" Type="http://schemas.openxmlformats.org/officeDocument/2006/relationships/hyperlink" Target="0-Test_Report/WH125249%20Odyssey%20NA%20DVT1C%20%20MDu51%20ED23899%20Impact%20Exterior%20Surfaces..xlsx" TargetMode="External"/><Relationship Id="rId273" Type="http://schemas.openxmlformats.org/officeDocument/2006/relationships/hyperlink" Target="0-Test_Report/WH124086%20Odyssey%20NA%20ALT%202019%20-%20Eval%20DVT1A%20(Final)%20Test%20Pic.pptx" TargetMode="External"/><Relationship Id="rId47" Type="http://schemas.openxmlformats.org/officeDocument/2006/relationships/hyperlink" Target="0-Test_Report/WH130301%20Odyssey%20NA%20MP%20MDu55%20Eval%20-%20Vibrator%20Strength%20Test%20Report.xls" TargetMode="External"/><Relationship Id="rId68" Type="http://schemas.openxmlformats.org/officeDocument/2006/relationships/hyperlink" Target="0-Test_Report/WH129679%20Odyssey%20MDU30.7z" TargetMode="External"/><Relationship Id="rId89" Type="http://schemas.openxmlformats.org/officeDocument/2006/relationships/hyperlink" Target="0-Test_Report/Odyssey%20PRC%20RF128648%20PVT%20Debug%20test.xlsx" TargetMode="External"/><Relationship Id="rId112" Type="http://schemas.openxmlformats.org/officeDocument/2006/relationships/hyperlink" Target="0-Test_Report/WH128209%20Odyssey%20PVT%20%20MEr04%20Ergonomic%20Test.xls" TargetMode="External"/><Relationship Id="rId133" Type="http://schemas.openxmlformats.org/officeDocument/2006/relationships/hyperlink" Target="0-Test_Report/Odyssey_PVT_WiFi_Chain1_June19_RF127941.xlsx" TargetMode="External"/><Relationship Id="rId154" Type="http://schemas.openxmlformats.org/officeDocument/2006/relationships/hyperlink" Target="0-Test_Report/ATT%2018%20Display%20Thumb%20Press%20Test%20Report%20(PVT).xlsx" TargetMode="External"/><Relationship Id="rId175" Type="http://schemas.openxmlformats.org/officeDocument/2006/relationships/hyperlink" Target="0-Test_Report/WH127262%20Odyssey%20APEM%20EU%20PRC%20SS%20DS%20DVT2B%20MDu75-Eval%20transportation%20Test%20Report%20Rev.O.pptx" TargetMode="External"/><Relationship Id="rId196" Type="http://schemas.openxmlformats.org/officeDocument/2006/relationships/hyperlink" Target="0-Test_Report/WH126870%20Odyssey%20NA%20SS%20MD%20ALT%202019%20DVT2%20(Final)%20Test%20Report.xls" TargetMode="External"/><Relationship Id="rId200" Type="http://schemas.openxmlformats.org/officeDocument/2006/relationships/hyperlink" Target="0-Test_Report/WH126808%20Odyssey%20NA%20LA%20SS%20DS%20DVT2%20MDu74%20Touch%20Screen_Back%20Cover%20Adhesion%20Test%20report%20Rev%20O.xlsx" TargetMode="External"/><Relationship Id="rId16" Type="http://schemas.openxmlformats.org/officeDocument/2006/relationships/hyperlink" Target="0-Test_Report/WH132233%20Odyssey%20NA%20%20MP%20MDu04%20Threaded%20Fasteners%20Torque%20Retention%20Test%20Report.xlsx" TargetMode="External"/><Relationship Id="rId221" Type="http://schemas.openxmlformats.org/officeDocument/2006/relationships/hyperlink" Target="0-Test_Report/WH126087%20Odyssey%20APEM%20EU%20PRC%20SS%20DS%20DVT1C%20MDu55%20-%20Vibrator%20Strength%20Test%20Report.xls" TargetMode="External"/><Relationship Id="rId242" Type="http://schemas.openxmlformats.org/officeDocument/2006/relationships/hyperlink" Target="0-Test_Report/Odyssey%20NA%20DVT1B%20pre%20test_RF125373.xlsx" TargetMode="External"/><Relationship Id="rId263" Type="http://schemas.openxmlformats.org/officeDocument/2006/relationships/hyperlink" Target="0-Test_Report/WH125237%20Odyssey%20%20NA%20SS%20EDu01%20Performance%20during%20Humidity%20and%20Extreme%20Temperature%20Test%20Report.xlsx" TargetMode="External"/><Relationship Id="rId37" Type="http://schemas.openxmlformats.org/officeDocument/2006/relationships/hyperlink" Target="0-Test_Report/WH130894%20Odyssey%20NA%20LA%20SS%20MP%20MDu64%20Flip%20Cycling%20Test%20report.xls" TargetMode="External"/><Relationship Id="rId58" Type="http://schemas.openxmlformats.org/officeDocument/2006/relationships/hyperlink" Target="0-Test_Report/WH130133%20Odyssey%20NALA%20SSDS%20OK2Pilot%20MDu20%20C%20-%20Connector%20Insertion%20Cycling%20Test%20Report.xlsx" TargetMode="External"/><Relationship Id="rId79" Type="http://schemas.openxmlformats.org/officeDocument/2006/relationships/hyperlink" Target="0-Test_Report/WH129209%20Odyssey%20NA%20LA%20SS%20DS%20PVT%20DVT%20MXc06%20Eval%20-%20Tumbler%20Test%20Report.xlsx" TargetMode="External"/><Relationship Id="rId102" Type="http://schemas.openxmlformats.org/officeDocument/2006/relationships/hyperlink" Target="0-Test_Report/WH128302%20Odyssey%20NALA%20SSDS%20PVT%20MDu52%20Environmental%20Chemical%20Susceptibility%20of%20Consumer%20Products%20Test%20Report%20Rev.O.xls" TargetMode="External"/><Relationship Id="rId123" Type="http://schemas.openxmlformats.org/officeDocument/2006/relationships/hyperlink" Target="0-Test_Report/WH127998%20Odyssey%20NA%20LA%20SS%20DS%20PVT%20MDu04%20Threaded%20Fasteners%20Torque%20Retention%20Test%20Report.xlsx" TargetMode="External"/><Relationship Id="rId144" Type="http://schemas.openxmlformats.org/officeDocument/2006/relationships/hyperlink" Target="0-Test_Report/TMO%206547%20Liquid%20Ingress%20Spill%20Test%20Report%20(PVT).xlsx" TargetMode="External"/><Relationship Id="rId90" Type="http://schemas.openxmlformats.org/officeDocument/2006/relationships/hyperlink" Target="0-Test_Report/WH128564%20Odyssey%20NA%20ALT%202019%20-%20Eval%20PVT%20(Final)%20Test%20pic%20Rev%20O.xls" TargetMode="External"/><Relationship Id="rId165" Type="http://schemas.openxmlformats.org/officeDocument/2006/relationships/hyperlink" Target="0-Test_Report/WH127588%20Odyssey(G0)%20%20MDu70%20SIM%20Connector%20Abuse%20and%20Misuse%20Test%20Report%20Rev%20B.xlsx" TargetMode="External"/><Relationship Id="rId186" Type="http://schemas.openxmlformats.org/officeDocument/2006/relationships/hyperlink" Target="0-Test_Report/WH127038%20Odyssey%20NA%20LA%20SS%20DS%20DVT2%20DVT%20EDu12%20-%20eMMC%20Memory%20Durability%20Test.7z" TargetMode="External"/><Relationship Id="rId211" Type="http://schemas.openxmlformats.org/officeDocument/2006/relationships/hyperlink" Target="0-Test_Report/Odyssey%20NA%20DVT2_A29%20pre%20test_RF126399.xlsx" TargetMode="External"/><Relationship Id="rId232" Type="http://schemas.openxmlformats.org/officeDocument/2006/relationships/hyperlink" Target="0-Test_Report/WH125956%20Odyssey%20APEMEUPRC%20SSDS%20DVT1C%20MDu23%20Connector%20Interface%20Sideload%20Cycling%20Test%20report%20Rev%20O.xlsx" TargetMode="External"/><Relationship Id="rId253" Type="http://schemas.openxmlformats.org/officeDocument/2006/relationships/hyperlink" Target="0-Test_Report/WH125248%20Odyssey%20NALA%20SS%20DS%20%20DVT1C%20DVT%20EDu03%20Eval-ESD%20Certification%20Test%20Report.xlsx" TargetMode="External"/><Relationship Id="rId27" Type="http://schemas.openxmlformats.org/officeDocument/2006/relationships/hyperlink" Target="0-Test_Report/WH131379%20Odyssey%20APEMEUPRC%20SSDS%20PVT%20Temperature%20and%20Humidity%20Test%20Rev.O.pptx" TargetMode="External"/><Relationship Id="rId48" Type="http://schemas.openxmlformats.org/officeDocument/2006/relationships/hyperlink" Target="0-Test_Report/WH130265%20Odyssey%20NA%20%20MDu55%20Eval%20-%20Vibrator%20Strength%20Test%20Report.xls" TargetMode="External"/><Relationship Id="rId69" Type="http://schemas.openxmlformats.org/officeDocument/2006/relationships/hyperlink" Target="0-Test_Report/WH129562%20Odyssey%20PVT%20NA%20MDu16%20Eval%20-%20Flip%20or%20Slider%20Hyper%20extension%20Test%20.xls" TargetMode="External"/><Relationship Id="rId113" Type="http://schemas.openxmlformats.org/officeDocument/2006/relationships/hyperlink" Target="0-Test_Report/WH128208.7z" TargetMode="External"/><Relationship Id="rId134" Type="http://schemas.openxmlformats.org/officeDocument/2006/relationships/hyperlink" Target="0-Test_Report/Odyssey%20A27%20pre%20test_RF127854.xlsx" TargetMode="External"/><Relationship Id="rId80" Type="http://schemas.openxmlformats.org/officeDocument/2006/relationships/hyperlink" Target="0-Test_Report/WH129168%20Odyssey%20NA%20LA%20SS%20DS%20PVT%20MDu04%20Threaded%20Fasteners%20Torque%20Retention%20Test%20Report.xlsx" TargetMode="External"/><Relationship Id="rId155" Type="http://schemas.openxmlformats.org/officeDocument/2006/relationships/hyperlink" Target="0-Test_Report/ATT%2019%20%20Display%20Impact%20Test%20Report%20(PVT).xlsx" TargetMode="External"/><Relationship Id="rId176" Type="http://schemas.openxmlformats.org/officeDocument/2006/relationships/hyperlink" Target="0-Test_Report/Odyssey%20PRC%20DVT2%20pre%20test_RF127193.xlsx" TargetMode="External"/><Relationship Id="rId197" Type="http://schemas.openxmlformats.org/officeDocument/2006/relationships/hyperlink" Target="0-Test_Report/Odyssey%20NA%20RF126833%20DVT2%20Pre-Test.xlsx" TargetMode="External"/><Relationship Id="rId201" Type="http://schemas.openxmlformats.org/officeDocument/2006/relationships/hyperlink" Target="0-Test_Report/WH126807%20Odyssey%20NA%20LA%20SS%20DS%20DVT2%20MDu16%20Flip%20or%20Slider%20Hyper-extension%20Test%20report.xlsx" TargetMode="External"/><Relationship Id="rId222" Type="http://schemas.openxmlformats.org/officeDocument/2006/relationships/hyperlink" Target="0-Test_Report/WH126086%20Odyssey%20APEM%20EU%20PRC%20SS%20DS%20DVT1C%20MXc20-Eval%20Water%20Submersion%20Test%20Report%20Rev.O.xlsx" TargetMode="External"/><Relationship Id="rId243" Type="http://schemas.openxmlformats.org/officeDocument/2006/relationships/hyperlink" Target="0-Test_Report/Odyssey(RF125372_DVT)RF%20Conformance(WCDMA)_Test%20Report%20v2.2.xlsx" TargetMode="External"/><Relationship Id="rId264" Type="http://schemas.openxmlformats.org/officeDocument/2006/relationships/hyperlink" Target="0-Test_Report/Odyssey%20DVT1C%20OTA%20Screening%20TCC-Lab.xlsx" TargetMode="External"/><Relationship Id="rId17" Type="http://schemas.openxmlformats.org/officeDocument/2006/relationships/hyperlink" Target="0-Test_Report/Odyssey%20RF132231%20OK2SHIP%20Debug%20Test.xlsx" TargetMode="External"/><Relationship Id="rId38" Type="http://schemas.openxmlformats.org/officeDocument/2006/relationships/hyperlink" Target="0-Test_Report/WH130893%20Odyssey%20NA%20%20ALT%202019%20-%20Eval%20MP%20(loop1)%20Test%20Pic.pptx" TargetMode="External"/><Relationship Id="rId59" Type="http://schemas.openxmlformats.org/officeDocument/2006/relationships/hyperlink" Target="0-Test_Report/WH130055%20Odyssey%20SS%20OK2RAMP%20MDu64%20-%20Flip%20Cycling%20Test%20Test.xlsx" TargetMode="External"/><Relationship Id="rId103" Type="http://schemas.openxmlformats.org/officeDocument/2006/relationships/hyperlink" Target="0-Test_Report/WH128301%20Odyssey%20NA%20PVT%20DVT%20MDu70%20SIM%20Connector%20Abuse%20and%20Misuse%20Test%20Report%20Rev%20B.xlsx" TargetMode="External"/><Relationship Id="rId124" Type="http://schemas.openxmlformats.org/officeDocument/2006/relationships/hyperlink" Target="0-Test_Report/WH127996%20Odyssey%20NA%20PVT%20MDu64%20Flip%20Cycling%20Test%20.xlsx" TargetMode="External"/><Relationship Id="rId70" Type="http://schemas.openxmlformats.org/officeDocument/2006/relationships/hyperlink" Target="0-Test_Report/WH129560%20Odyssey%20NA%20SS%20PVT%20MDu64%20-%20Flip%20Cycling%20Test%20Test.xlsx" TargetMode="External"/><Relationship Id="rId91" Type="http://schemas.openxmlformats.org/officeDocument/2006/relationships/hyperlink" Target="0-Test_Report/WH128510%20Odyssey%20APEM%20EU%20PRC%20SS%20DS%20PVT%20MDu64%20-%20Flip%20Cycling%20Test%20Test.xlsx" TargetMode="External"/><Relationship Id="rId145" Type="http://schemas.openxmlformats.org/officeDocument/2006/relationships/hyperlink" Target="0-Test_Report/TMO%206546%20Capillary%20Liquid%20Ingress%20Test%20Report%20(PVT).xlsx" TargetMode="External"/><Relationship Id="rId166" Type="http://schemas.openxmlformats.org/officeDocument/2006/relationships/hyperlink" Target="0-Test_Report/WH127587%20Odyssey(G7)%20%20MDu70%20SIM%20Connector%20Abuse%20and%20Misuse%20Test%20Report%20Rev%20B.xlsx" TargetMode="External"/><Relationship Id="rId187" Type="http://schemas.openxmlformats.org/officeDocument/2006/relationships/hyperlink" Target="0-Test_Report/WH127037%20Odyssey%20NA%20LA%20SS%20DS%20DVT2%20MDu56-Eval%20Abrasion%20Resistance%20Test.xls" TargetMode="External"/><Relationship Id="rId1" Type="http://schemas.openxmlformats.org/officeDocument/2006/relationships/hyperlink" Target="0-Test_Report/Odyssey_R_Upgrade_Critical_RF_Parametric_5G_TCs.xlsx" TargetMode="External"/><Relationship Id="rId212" Type="http://schemas.openxmlformats.org/officeDocument/2006/relationships/hyperlink" Target="0-Test_Report/Odyssey%20NA%20RF126324%20DVT2%20Pre-Test.xlsx" TargetMode="External"/><Relationship Id="rId233" Type="http://schemas.openxmlformats.org/officeDocument/2006/relationships/hyperlink" Target="0-Test_Report/Odyssey%20DVT1C%20Debug%20Test%20RF125903.xlsx" TargetMode="External"/><Relationship Id="rId254" Type="http://schemas.openxmlformats.org/officeDocument/2006/relationships/hyperlink" Target="0-Test_Report/WH125246%20Odyssey%20NA%20LA%20SS%20DS%20DVT1C%20DVT%20EDu13%20Eval%20Battery%20Performance%20at%20Various%20Temperature%20test%20repot%20Rev%20O.xlsx" TargetMode="External"/><Relationship Id="rId28" Type="http://schemas.openxmlformats.org/officeDocument/2006/relationships/hyperlink" Target="0-Test_Report/WH131374%20Odyssey%20APEMEUPRC%20SSDS%20PVT%20MDu75%20Eval%20-transportation%20Test%20Report%20Rev.O.pptx" TargetMode="External"/><Relationship Id="rId49" Type="http://schemas.openxmlformats.org/officeDocument/2006/relationships/hyperlink" Target="0-Test_Report/WH130216%20Odyssey%20temperature%20Tests%20Report%2002.xls" TargetMode="External"/><Relationship Id="rId114" Type="http://schemas.openxmlformats.org/officeDocument/2006/relationships/hyperlink" Target="0-Test_Report/WH128111%20Odyssey%20PVT%20MDu14%20Particulate%20Motility%20Test%20Report%20Rev.O.xls" TargetMode="External"/><Relationship Id="rId60" Type="http://schemas.openxmlformats.org/officeDocument/2006/relationships/hyperlink" Target="0-Test_Report/WH130054%20Odyssey%20NA%20MD%20C-ALT%202019%20%20(Final)%20Test%20Report.xls" TargetMode="External"/><Relationship Id="rId81" Type="http://schemas.openxmlformats.org/officeDocument/2006/relationships/hyperlink" Target="0-Test_Report/WH129159.7z" TargetMode="External"/><Relationship Id="rId135" Type="http://schemas.openxmlformats.org/officeDocument/2006/relationships/hyperlink" Target="0-Test_Report/WH127729%20Odyssey%20NA%20LA%20SS%20PVT%20MDu64%20Flip%20Cycling%20Test%20report.xls" TargetMode="External"/><Relationship Id="rId156" Type="http://schemas.openxmlformats.org/officeDocument/2006/relationships/hyperlink" Target="0-Test_Report/ATT%2020%20Abrasion%20Resistance%20Test%20Report(PVT).xls" TargetMode="External"/><Relationship Id="rId177" Type="http://schemas.openxmlformats.org/officeDocument/2006/relationships/hyperlink" Target="0-Test_Report/WH127188%20Odyssey%20NA%20LA%20SS%20DS%20DVT2%20DVT-Eval%20MDu77%20Vibration%20Abrasion%20Test%20Report.xls" TargetMode="External"/><Relationship Id="rId198" Type="http://schemas.openxmlformats.org/officeDocument/2006/relationships/hyperlink" Target="0-Test_Report/WH126823%20Odyssey%20DVT2%20MDu64%20Flip%20Cycling%20Test%20.xls" TargetMode="External"/><Relationship Id="rId202" Type="http://schemas.openxmlformats.org/officeDocument/2006/relationships/hyperlink" Target="0-Test_Report/Odyssey%20NA%20RF126682%20DVT2%20Pre-Test.xlsx" TargetMode="External"/><Relationship Id="rId223" Type="http://schemas.openxmlformats.org/officeDocument/2006/relationships/hyperlink" Target="0-Test_Report/WH126085%20Odyssey%20DVT1%20MDu64%20Flip%20Cycling%20Test%20.xls" TargetMode="External"/><Relationship Id="rId244" Type="http://schemas.openxmlformats.org/officeDocument/2006/relationships/hyperlink" Target="0-Test_Report/WH125257%20Odyssey%20NA%20DVT1C%20MDu28%20Connector%20Plug%20Drop%20and%20Load%20Robustness%20Rev%20B.xls" TargetMode="External"/><Relationship Id="rId18" Type="http://schemas.openxmlformats.org/officeDocument/2006/relationships/hyperlink" Target="0-Test_Report/WH132008%20Odyssey%20NA%20MD%20C-ALT%202019%20MP%20(Final)%20Test%20Report.xls" TargetMode="External"/><Relationship Id="rId39" Type="http://schemas.openxmlformats.org/officeDocument/2006/relationships/hyperlink" Target="0-Test_Report/WH130578%20Odyssey%20MP%20DVT%20MDu74%20C%20-%20Touch%20Screen%20%20Back%20Cover%20Adhesion%20Test.xlsx" TargetMode="External"/><Relationship Id="rId265" Type="http://schemas.openxmlformats.org/officeDocument/2006/relationships/hyperlink" Target="0-Test_Report/WH125131%20Odyssey%20NA%20SS%20MD%20ALT%202019%20DVT1C%20(Final)%20Test%20pic.ppt" TargetMode="External"/><Relationship Id="rId50" Type="http://schemas.openxmlformats.org/officeDocument/2006/relationships/hyperlink" Target="0-Test_Report/WH130215%20Odyssey%20APEMEUPRC%20SSDS%20DVT2B%20DVT-Eval%20MDu75%20transportation%20Test%20Report-voyager%20cling%20Rev.O.pptx" TargetMode="External"/><Relationship Id="rId104" Type="http://schemas.openxmlformats.org/officeDocument/2006/relationships/hyperlink" Target="0-Test_Report/WH128300%20Odyssey%20NALA%20SSDS%20PVT%20MDu23%20Connector%20Interface%20Sideload%20Cycling%20Test%20report%20Rev%20O.xlsx" TargetMode="External"/><Relationship Id="rId125" Type="http://schemas.openxmlformats.org/officeDocument/2006/relationships/hyperlink" Target="0-Test_Report/WH127995Odyssey%20NA%20LA%20SS%20DS%20PVT%20DVT-Eval%20MDu77%20Vibration%20Abrasion%20Test%20Report.xls" TargetMode="External"/><Relationship Id="rId146" Type="http://schemas.openxmlformats.org/officeDocument/2006/relationships/hyperlink" Target="0-Test_Report/ATT%2027%20Radiation%20UV%20Exposure%20Test%20Report(PVT).xlsx" TargetMode="External"/><Relationship Id="rId167" Type="http://schemas.openxmlformats.org/officeDocument/2006/relationships/hyperlink" Target="0-Test_Report/WH127586%20Odyssey%20NA%20SS%20PVT%20EDu01%20Performance%20during%20Humidity%20and%20Extreme%20Temperature%20Test%20Report.xlsx" TargetMode="External"/><Relationship Id="rId188" Type="http://schemas.openxmlformats.org/officeDocument/2006/relationships/hyperlink" Target="0-Test_Report/WH127036%20Odyssey%20NA%20SSDS%20DVT2%20MDu42%20External%20Lens%20Scratch%20Resistance%20Test%20Report%20Rev%20O.xls" TargetMode="External"/><Relationship Id="rId71" Type="http://schemas.openxmlformats.org/officeDocument/2006/relationships/hyperlink" Target="0-Test_Report/WH129483%20Odyssey%20NA%20SS%20PVT%20MDu64%20-%20Flip%20Cycling%20Test%20Test.xlsx" TargetMode="External"/><Relationship Id="rId92" Type="http://schemas.openxmlformats.org/officeDocument/2006/relationships/hyperlink" Target="0-Test_Report/WH128509%20Odyssey%20ROW%20SS%20PVT%20EDu01%20Performance%20during%20Humidity%20and%20Extreme%20Temperature%20Test%20Report.xlsx" TargetMode="External"/><Relationship Id="rId213" Type="http://schemas.openxmlformats.org/officeDocument/2006/relationships/hyperlink" Target="0-Test_Report/Odyssey%20NA%20DVT2_A26%20pre%20test_RF126322.xlsx" TargetMode="External"/><Relationship Id="rId234" Type="http://schemas.openxmlformats.org/officeDocument/2006/relationships/hyperlink" Target="0-Test_Report/WH125897%20Odyssey%20APEM%20EU%20PRC%20SS%20DS%20DVT1C%20EDu14%20Pulse%20Transient%20Surge%20test%20report.xlsx" TargetMode="External"/><Relationship Id="rId2" Type="http://schemas.openxmlformats.org/officeDocument/2006/relationships/hyperlink" Target="0-Test_Report/WH138179%20MDu64%20Odyssey%20Flip%20Cycling%20Test%20Report%20.xlsx" TargetMode="External"/><Relationship Id="rId29" Type="http://schemas.openxmlformats.org/officeDocument/2006/relationships/hyperlink" Target="0-Test_Report/WH131373%20Odyssey%20NA%20ok2pilot%20%20MDu75%20Eval%20-%20transportation%20Test%20Report(Draft).pptx" TargetMode="External"/><Relationship Id="rId255" Type="http://schemas.openxmlformats.org/officeDocument/2006/relationships/hyperlink" Target="0-Test_Report/WH125245%20Odyssey%20NALA%20SS%20DS%20DVT1C%20EDu15%20Soft%20Short%20test%20report%20Rev%20O.xlsx" TargetMode="External"/><Relationship Id="rId40" Type="http://schemas.openxmlformats.org/officeDocument/2006/relationships/hyperlink" Target="0-Test_Report/WH130577%20Odyssey%20NA%20LA%20SS%20DS%20MD%20C-ALT%202019%20MP%20(Final)%20Test%20Pic.pptx" TargetMode="External"/><Relationship Id="rId115" Type="http://schemas.openxmlformats.org/officeDocument/2006/relationships/hyperlink" Target="0-Test_Report/WH128110%20Odyssey%20PVT%20MDu28%20Connector%20Plug%20Drop%20and%20Load%20Robustness%20Rev%20B.xls" TargetMode="External"/><Relationship Id="rId136" Type="http://schemas.openxmlformats.org/officeDocument/2006/relationships/hyperlink" Target="0-Test_Report/Flip%20Hyper%20Test%20report(PVT).xlsx" TargetMode="External"/><Relationship Id="rId157" Type="http://schemas.openxmlformats.org/officeDocument/2006/relationships/hyperlink" Target="0-Test_Report/ATT%2014%20RASS-Temperature%20and%20Humidity%20Cycling%20Test%20Report%20(PVT).xlsx" TargetMode="External"/><Relationship Id="rId178" Type="http://schemas.openxmlformats.org/officeDocument/2006/relationships/hyperlink" Target="0-Test_Report/WiFi%20TRP_Rework_Test_Plan_June_5_RF127138.xlsx" TargetMode="External"/><Relationship Id="rId61" Type="http://schemas.openxmlformats.org/officeDocument/2006/relationships/hyperlink" Target="0-Test_Report/WiFi_5GHz_FactoryIssues_Aug12%20RF129982.xlsx" TargetMode="External"/><Relationship Id="rId82" Type="http://schemas.openxmlformats.org/officeDocument/2006/relationships/hyperlink" Target="0-Test_Report/WH129158%20Odyssey%20PVT%20drop%20test%20report.xlsx" TargetMode="External"/><Relationship Id="rId199" Type="http://schemas.openxmlformats.org/officeDocument/2006/relationships/hyperlink" Target="0-Test_Report/WH126809%20Odyssey%20NA%20LA%20SS%20DS%20DVT2%20MDu52%20Environmental%20Chemical%20Susceptibility%20of%20Consumer%20Products%20Test%20Report%20Rev.O.xls" TargetMode="External"/><Relationship Id="rId203" Type="http://schemas.openxmlformats.org/officeDocument/2006/relationships/hyperlink" Target="0-Test_Report/WH126663%20Odyssey%20NA%20LA%20SS%20DS%20DVT1C%20MDu59-Eval%20%20First%20Surface%20Finishes_Paint%20Adhesion%20Test%20Report%20Rev%20O.xls" TargetMode="External"/><Relationship Id="rId19" Type="http://schemas.openxmlformats.org/officeDocument/2006/relationships/hyperlink" Target="0-Test_Report/WH131933%20Odyssey%20MP%20MDu30%20---%20Infra%20Red%20Imaging%20Test%20Report.xls" TargetMode="External"/><Relationship Id="rId224" Type="http://schemas.openxmlformats.org/officeDocument/2006/relationships/hyperlink" Target="0-Test_Report/WH126084%20Odyssey%20APEM%20EU%20PRC%20SS%20DS%20DVT1C%20MDu72%20-Concentrated%20Pressure%20Fault%20Pogo%20Test%20Report%20Rev%20O.xls" TargetMode="External"/><Relationship Id="rId245" Type="http://schemas.openxmlformats.org/officeDocument/2006/relationships/hyperlink" Target="0-Test_Report/WH125256%20Odyssey%20NA%20DVT1C%20DVT%20MDu14%20Particulate%20Motility%20Test%20Report%20Rev.O.xls" TargetMode="External"/><Relationship Id="rId266" Type="http://schemas.openxmlformats.org/officeDocument/2006/relationships/hyperlink" Target="0-Test_Report/WH125123%20Odyssey%20NALA%20SSDS%20DVT1B%20%20ERT%20Phone%20Level%20Test%20report.xls" TargetMode="External"/><Relationship Id="rId30" Type="http://schemas.openxmlformats.org/officeDocument/2006/relationships/hyperlink" Target="0-Test_Report/WH131342%20Odyssey%20NA%20ok2pilot%20%20MDu75%20Eval%20-%20transportation%20Test%20Report%20Rev.o%202.pptx" TargetMode="External"/><Relationship Id="rId105" Type="http://schemas.openxmlformats.org/officeDocument/2006/relationships/hyperlink" Target="0-Test_Report/WH128299%20Odyssey%20NALA%20SSDS%20PVT%20MDu31%20Side%20button%20tactile%20and%20life%20cycling%20Test%20Report%20Rev%20O.xls" TargetMode="External"/><Relationship Id="rId126" Type="http://schemas.openxmlformats.org/officeDocument/2006/relationships/hyperlink" Target="0-Test_Report/TMO%206547%20Liquid%20Ingress%20Spill%20Test%20Report%20(PVT).xlsx" TargetMode="External"/><Relationship Id="rId147" Type="http://schemas.openxmlformats.org/officeDocument/2006/relationships/hyperlink" Target="0-Test_Report/ATT%2028%20Conn.%20Insertion%20Force%20Test%20Report%20(PVT).xlsx" TargetMode="External"/><Relationship Id="rId168" Type="http://schemas.openxmlformats.org/officeDocument/2006/relationships/hyperlink" Target="0-Test_Report/Odyssey_A48%20PVT%20pre%20test_RF127570.xlsx" TargetMode="External"/><Relationship Id="rId51" Type="http://schemas.openxmlformats.org/officeDocument/2006/relationships/hyperlink" Target="0-Test_Report/WH130143%20Odyssey%20NA%20LA%20SS%20DS%20OK2Pilot%20EDu14%20C%20Pulse%20Transient%20Surge%20Test.xlsx" TargetMode="External"/><Relationship Id="rId72" Type="http://schemas.openxmlformats.org/officeDocument/2006/relationships/hyperlink" Target="0-Test_Report/WH129464.7z" TargetMode="External"/><Relationship Id="rId93" Type="http://schemas.openxmlformats.org/officeDocument/2006/relationships/hyperlink" Target="0-Test_Report/WH128494%20Odyssey%20APEMEUPRC%20DVT2B%20DVT-Eval%20MDu75%20transportation%20Test%20Report%20Rev.O.pptx" TargetMode="External"/><Relationship Id="rId189" Type="http://schemas.openxmlformats.org/officeDocument/2006/relationships/hyperlink" Target="0-Test_Report/WH127032%20Odyssey%20APEM%20EUPRC%20SS%20DS%20DVT2B%20MDu75%20transportation%20Test%20Report.pptx" TargetMode="External"/><Relationship Id="rId3" Type="http://schemas.openxmlformats.org/officeDocument/2006/relationships/hyperlink" Target="0-Test_Report/WH137128%20Odyssey%20APEM%20EU%20PRC%20SS%20OK2SHIP%20PVT%20MDu64%20-%20Flip%20Cycling%20Test%20report.xlsx" TargetMode="External"/><Relationship Id="rId214" Type="http://schemas.openxmlformats.org/officeDocument/2006/relationships/hyperlink" Target="0-Test_Report/WH126266%20Odyssey%20NA%20LA%20SS%20DS%20DVT1C%20DVT%20EDu13%20Eval%20Battery%20Performance%20at%20Various%20Temperature%20test%20repot%20Rev%20O.xlsx" TargetMode="External"/><Relationship Id="rId235" Type="http://schemas.openxmlformats.org/officeDocument/2006/relationships/hyperlink" Target="0-Test_Report/Odyssey%20NA%20DVT1C%20pre%20test_RF125894.xlsx" TargetMode="External"/><Relationship Id="rId256" Type="http://schemas.openxmlformats.org/officeDocument/2006/relationships/hyperlink" Target="0-Test_Report/WH125244%20Odyssey%20NA%20SS%20DVT1C%20EDu09%20Eval%20-%20RAM%20Integrity%20Test%20report%20Rev%20O.xls" TargetMode="External"/><Relationship Id="rId116" Type="http://schemas.openxmlformats.org/officeDocument/2006/relationships/hyperlink" Target="0-Test_Report/WH128086%20Odyssey%20NA%20SS%20PVT%20EDu06%20Radiation%20Test%20Report%20Rev%20A-0100.xls" TargetMode="External"/><Relationship Id="rId137" Type="http://schemas.openxmlformats.org/officeDocument/2006/relationships/hyperlink" Target="0-Test_Report/WH127727%20Odyssey%20NA%20LA%20SS%20DS%20PVT%20MDu18%20Flip_Slider%20Robustness%20.xls" TargetMode="External"/><Relationship Id="rId158" Type="http://schemas.openxmlformats.org/officeDocument/2006/relationships/hyperlink" Target="0-Test_Report/ATT%2013%20RASS%20Vibration(PVT).xlsx" TargetMode="External"/><Relationship Id="rId20" Type="http://schemas.openxmlformats.org/officeDocument/2006/relationships/hyperlink" Target="0-Test_Report/WH131868%20Odyssey%20APEMEUPRC%20SSDS%20PVT%20MDu75%20transportation%20Test%20Report%20Rev.o%202.pptx" TargetMode="External"/><Relationship Id="rId41" Type="http://schemas.openxmlformats.org/officeDocument/2006/relationships/hyperlink" Target="0-Test_Report/WH130538%20Odyssey%20MP%20DVT%20MDu74%20C%20-%20Touch%20Screen%20%20Back%20Cover%20Adhesion%20Test.xlsx" TargetMode="External"/><Relationship Id="rId62" Type="http://schemas.openxmlformats.org/officeDocument/2006/relationships/hyperlink" Target="0-Test_Report/WH129749%20and%20WH129814%20%20Odyssey%20PVT%20MDu55%20Vibrator%20Performance.xls" TargetMode="External"/><Relationship Id="rId83" Type="http://schemas.openxmlformats.org/officeDocument/2006/relationships/hyperlink" Target="0-Test_Report/WH128911%20Odyssey%20NA%20PVT%20DVT-Eval%20MDu77%20Vibration%20Abrasion%20Test%20Report.xls" TargetMode="External"/><Relationship Id="rId179" Type="http://schemas.openxmlformats.org/officeDocument/2006/relationships/hyperlink" Target="0-Test_Report/Odyssey_5G%20RF%20Conformance(RF127110_DVT)Test%20Result%20V1.xls" TargetMode="External"/><Relationship Id="rId190" Type="http://schemas.openxmlformats.org/officeDocument/2006/relationships/hyperlink" Target="0-Test_Report/Odyssey_DTAG_TIS_DVT1C_May27_Updated_RF126928.xlsx" TargetMode="External"/><Relationship Id="rId204" Type="http://schemas.openxmlformats.org/officeDocument/2006/relationships/hyperlink" Target="0-Test_Report/Odyssey%20RF126613%20DVT1C%20Debug%20Test.xlsx" TargetMode="External"/><Relationship Id="rId225" Type="http://schemas.openxmlformats.org/officeDocument/2006/relationships/hyperlink" Target="0-Test_Report/WH126083%20Odyssey%20APEM%20EU%20PRC%20SS%20DVT1C%20MDu49%20-%20Magnetic%20Particle%20(Ingress)%20Test%20Report%20%20%20.xls" TargetMode="External"/><Relationship Id="rId246" Type="http://schemas.openxmlformats.org/officeDocument/2006/relationships/hyperlink" Target="0-Test_Report/WH125255%20%20Odyssey%20NA%20%20DVT1C%20MDu66%20Product%20Bend%20Test.xls" TargetMode="External"/><Relationship Id="rId267" Type="http://schemas.openxmlformats.org/officeDocument/2006/relationships/hyperlink" Target="0-Test_Report/Odyssey%20DVT1B%20OTA%20Screening%20TCC-Lab_With%20Adhesive%204-12%20.xlsx" TargetMode="External"/><Relationship Id="rId106" Type="http://schemas.openxmlformats.org/officeDocument/2006/relationships/hyperlink" Target="0-Test_Report/WH128297%20Odyssey%20NALA%20SSDS%20PVT%20MDu49%20-%20Magnetic%20Particle%20(Ingress)%20Test%20Report.xls" TargetMode="External"/><Relationship Id="rId127" Type="http://schemas.openxmlformats.org/officeDocument/2006/relationships/hyperlink" Target="0-Test_Report/TMO%206534%20Drop%20Test%20(Phablets)%20Report%20(PVT).xlsx" TargetMode="External"/><Relationship Id="rId10" Type="http://schemas.openxmlformats.org/officeDocument/2006/relationships/hyperlink" Target="0-Test_Report/Odyssey_debug.xlsx" TargetMode="External"/><Relationship Id="rId31" Type="http://schemas.openxmlformats.org/officeDocument/2006/relationships/hyperlink" Target="0-Test_Report/WH131091Odyssey%20APEMEUPRC%20SSDS%20DVT2B%20%20MDu75%20transportation%20Test%20Report%20Rev.o%202.pptx" TargetMode="External"/><Relationship Id="rId52" Type="http://schemas.openxmlformats.org/officeDocument/2006/relationships/hyperlink" Target="0-Test_Report/WH130141%20Odyssey%20NA%20OK2Pilot%20DVT-C%20MDu77%20Vibration%20Abrasion%20Test%20Report.xls" TargetMode="External"/><Relationship Id="rId73" Type="http://schemas.openxmlformats.org/officeDocument/2006/relationships/hyperlink" Target="0-Test_Report/WH129269%20Odyssey%20temperature%20Tests%20Report%2002(1).xls" TargetMode="External"/><Relationship Id="rId94" Type="http://schemas.openxmlformats.org/officeDocument/2006/relationships/hyperlink" Target="0-Test_Report/WH128488%20Odyssey%20PVT%20MDu28%20Connector%20Plug%20Drop%20and%20Load%20Robustness%20Rev%20B.xls" TargetMode="External"/><Relationship Id="rId148" Type="http://schemas.openxmlformats.org/officeDocument/2006/relationships/hyperlink" Target="0-Test_Report/ATT%2030%20EDu03%20Test%20Report%20(PVT)%20.xlsx" TargetMode="External"/><Relationship Id="rId169" Type="http://schemas.openxmlformats.org/officeDocument/2006/relationships/hyperlink" Target="0-Test_Report/Odyssey_A49%20PVT%20pre%20test_RF127569.xlsx" TargetMode="External"/><Relationship Id="rId4" Type="http://schemas.openxmlformats.org/officeDocument/2006/relationships/hyperlink" Target="0-Test_Report/WH136982%20Odyssey%20NA%20MP%20DVT%20MDu64%20(-10C)low%20temperat.xlsx" TargetMode="External"/><Relationship Id="rId180" Type="http://schemas.openxmlformats.org/officeDocument/2006/relationships/hyperlink" Target="0-Test_Report/WH127044%20Odyssey%20NA%20LA%20SS%20DS%20DVT2%20MDu04%20Threaded%20Fasteners%20Torque%20Retention%20Test%20Report.xlsx" TargetMode="External"/><Relationship Id="rId215" Type="http://schemas.openxmlformats.org/officeDocument/2006/relationships/hyperlink" Target="0-Test_Report/WH126249%20Odyssey%20APEMEUPRC%20SSDS%20DVT2B%20DVT%20MDu75%20Eval%20-transportation%20Test%20Report%20Rev.O.pptx" TargetMode="External"/><Relationship Id="rId236" Type="http://schemas.openxmlformats.org/officeDocument/2006/relationships/hyperlink" Target="0-Test_Report/Odyssey%20NA%20RF125747%20DVT1C%20Pre-Test.xlsx" TargetMode="External"/><Relationship Id="rId257" Type="http://schemas.openxmlformats.org/officeDocument/2006/relationships/hyperlink" Target="0-Test_Report/WH125243%20Odyssey%20NALA%20SS%20DS%20edu12%20test%20report.7z" TargetMode="External"/><Relationship Id="rId42" Type="http://schemas.openxmlformats.org/officeDocument/2006/relationships/hyperlink" Target="0-Test_Report/WH130532%20Odyssey%20NA%20%20C-ALT%202019%20MP%20(Final)%20Test%20Report.xls" TargetMode="External"/><Relationship Id="rId84" Type="http://schemas.openxmlformats.org/officeDocument/2006/relationships/hyperlink" Target="0-Test_Report/WH128895%20Odyssey%20NA%20ALT%202019%20PVT%20(Final)%20Test%20Report.pptx" TargetMode="External"/><Relationship Id="rId138" Type="http://schemas.openxmlformats.org/officeDocument/2006/relationships/hyperlink" Target="0-Test_Report/Abrasion%20Resistance%20Test%20Report(PVT).xls" TargetMode="External"/><Relationship Id="rId191" Type="http://schemas.openxmlformats.org/officeDocument/2006/relationships/hyperlink" Target="0-Test_Report/Odyssey%20PRC%20DVT2%20pre%20test_RF126919.xlsx" TargetMode="External"/><Relationship Id="rId205" Type="http://schemas.openxmlformats.org/officeDocument/2006/relationships/hyperlink" Target="0-Test_Report/WH126552%20Odyssey%20NA%20SS%20DVT2%20EDu01%20Performance%20during%20Humidity%20and%20Extreme%20Temperature%20Test%20Report.xlsx" TargetMode="External"/><Relationship Id="rId247" Type="http://schemas.openxmlformats.org/officeDocument/2006/relationships/hyperlink" Target="0-Test_Report/WH125254%20Odyssey%20NA%20%20DVT1C%20MDu39%20Lens%20Scratch%20Resistance%20Test%20Report%20Rev.O.xls" TargetMode="External"/><Relationship Id="rId107" Type="http://schemas.openxmlformats.org/officeDocument/2006/relationships/hyperlink" Target="0-Test_Report/WH128296%20Odyssey%20NALA%20SSDS%20PVT%20MDu44%20Shield_and_PCB_Robustness%20Test%20Report%20Rev%20O.xls" TargetMode="External"/><Relationship Id="rId11" Type="http://schemas.openxmlformats.org/officeDocument/2006/relationships/hyperlink" Target="0-Test_Report/Golden%20Unit%20Selection_Nov10%20RF133254.xlsx" TargetMode="External"/><Relationship Id="rId53" Type="http://schemas.openxmlformats.org/officeDocument/2006/relationships/hyperlink" Target="0-Test_Report/WH130140%20Odyssey%20NALA%20SSDS%20OK2Pilot%20MXc06%20Tumbler%20Test%20Report%20Rev.A.xlsx" TargetMode="External"/><Relationship Id="rId149" Type="http://schemas.openxmlformats.org/officeDocument/2006/relationships/hyperlink" Target="0-Test_Report/ATT%2029%20Conn.%20Stress%20Test%20Report%20(PVT).xlsx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reliability.mot.com/ALTV4/Reports/ALTTestReport_Functional.aspx?Test_Seqno=WH131069" TargetMode="External"/><Relationship Id="rId671" Type="http://schemas.openxmlformats.org/officeDocument/2006/relationships/hyperlink" Target="http://reliability.mot.com/ALTV4/Reports/ALTTestReport_Functional.aspx?Test_Seqno=WH125956" TargetMode="External"/><Relationship Id="rId21" Type="http://schemas.openxmlformats.org/officeDocument/2006/relationships/hyperlink" Target="http://reliability.mot.com/ALTV4/Reports/ALTTestReport_Functional.aspx?Test_Seqno=WH136117" TargetMode="External"/><Relationship Id="rId324" Type="http://schemas.openxmlformats.org/officeDocument/2006/relationships/hyperlink" Target="http://100.65.83.171/ReportServer/Pages/ReportViewer.aspx?%2fgALT_V3_Reports%2fAll+Failure+Info+Export&amp;rs:Command=Render&amp;rc:Parameters=False&amp;Test_Seqno=WH128302" TargetMode="External"/><Relationship Id="rId531" Type="http://schemas.openxmlformats.org/officeDocument/2006/relationships/hyperlink" Target="http://reliability.mot.com/ALTV4/Reports/ALTTestReport_Functional.aspx?Test_Seqno=RF127284" TargetMode="External"/><Relationship Id="rId629" Type="http://schemas.openxmlformats.org/officeDocument/2006/relationships/hyperlink" Target="http://reliability.mot.com/ALTV4/Reports/ALTTestReport_Functional.aspx?Test_Seqno=WH126115" TargetMode="External"/><Relationship Id="rId170" Type="http://schemas.openxmlformats.org/officeDocument/2006/relationships/hyperlink" Target="http://100.65.83.171/ReportServer/Pages/ReportViewer.aspx?%2fgALT_V3_Reports%2fAll+Failure+Info+Export&amp;rs:Command=Render&amp;rc:Parameters=False&amp;Test_Seqno=WH130301" TargetMode="External"/><Relationship Id="rId268" Type="http://schemas.openxmlformats.org/officeDocument/2006/relationships/hyperlink" Target="http://100.65.83.171/ReportServer/Pages/ReportViewer.aspx?%2fgALT_V3_Reports%2fAll+Failure+Info+Export&amp;rs:Command=Render&amp;rc:Parameters=False&amp;Test_Seqno=WH129209" TargetMode="External"/><Relationship Id="rId475" Type="http://schemas.openxmlformats.org/officeDocument/2006/relationships/hyperlink" Target="http://reliability.mot.com/ALTV4/Reports/ALTTestReport_Functional.aspx?Test_Seqno=WH127682" TargetMode="External"/><Relationship Id="rId682" Type="http://schemas.openxmlformats.org/officeDocument/2006/relationships/hyperlink" Target="http://100.65.83.171/ReportServer/Pages/ReportViewer.aspx?%2fgALT_V3_Reports%2fAll+Failure+Info+Export&amp;rs:Command=Render&amp;rc:Parameters=False&amp;Test_Seqno=RF125747" TargetMode="External"/><Relationship Id="rId32" Type="http://schemas.openxmlformats.org/officeDocument/2006/relationships/hyperlink" Target="http://100.65.83.171/ReportServer/Pages/ReportViewer.aspx?%2fgALT_V3_Reports%2fAll+Failure+Info+Export&amp;rs:Command=Render&amp;rc:Parameters=False&amp;Test_Seqno=RF135973" TargetMode="External"/><Relationship Id="rId128" Type="http://schemas.openxmlformats.org/officeDocument/2006/relationships/hyperlink" Target="http://100.65.83.171/ReportServer/Pages/ReportViewer.aspx?%2fgALT_V3_Reports%2fAll+Failure+Info+Export&amp;rs:Command=Render&amp;rc:Parameters=False&amp;Test_Seqno=WH131032" TargetMode="External"/><Relationship Id="rId335" Type="http://schemas.openxmlformats.org/officeDocument/2006/relationships/hyperlink" Target="http://reliability.mot.com/ALTV4/Reports/ALTTestReport_Functional.aspx?Test_Seqno=WH128296" TargetMode="External"/><Relationship Id="rId542" Type="http://schemas.openxmlformats.org/officeDocument/2006/relationships/hyperlink" Target="http://100.65.83.171/ReportServer/Pages/ReportViewer.aspx?%2fgALT_V3_Reports%2fAll+Failure+Info+Export&amp;rs:Command=Render&amp;rc:Parameters=False&amp;Test_Seqno=WH127188" TargetMode="External"/><Relationship Id="rId181" Type="http://schemas.openxmlformats.org/officeDocument/2006/relationships/hyperlink" Target="http://reliability.mot.com/ALTV4/Reports/ALTTestReport_Functional.aspx?Test_Seqno=WH130215" TargetMode="External"/><Relationship Id="rId402" Type="http://schemas.openxmlformats.org/officeDocument/2006/relationships/hyperlink" Target="http://100.65.83.171/ReportServer/Pages/ReportViewer.aspx?%2fgALT_V3_Reports%2fAll+Failure+Info+Export&amp;rs:Command=Render&amp;rc:Parameters=False&amp;Test_Seqno=RF127943" TargetMode="External"/><Relationship Id="rId279" Type="http://schemas.openxmlformats.org/officeDocument/2006/relationships/hyperlink" Target="http://reliability.mot.com/ALTV4/Reports/ALTTestReport_Functional.aspx?Test_Seqno=WH128836" TargetMode="External"/><Relationship Id="rId486" Type="http://schemas.openxmlformats.org/officeDocument/2006/relationships/hyperlink" Target="http://100.65.83.171/ReportServer/Pages/ReportViewer.aspx?%2fgALT_V3_Reports%2fAll+Failure+Info+Export&amp;rs:Command=Render&amp;rc:Parameters=False&amp;Test_Seqno=WH127672" TargetMode="External"/><Relationship Id="rId693" Type="http://schemas.openxmlformats.org/officeDocument/2006/relationships/hyperlink" Target="http://reliability.mot.com/ALTV4/Reports/ALTTestReport_Functional.aspx?Test_Seqno=RF125375" TargetMode="External"/><Relationship Id="rId707" Type="http://schemas.openxmlformats.org/officeDocument/2006/relationships/hyperlink" Target="http://reliability.mot.com/ALTV4/Reports/ALTTestReport_Functional.aspx?Test_Seqno=WH125255" TargetMode="External"/><Relationship Id="rId43" Type="http://schemas.openxmlformats.org/officeDocument/2006/relationships/hyperlink" Target="http://reliability.mot.com/ALTV4/Reports/ALTTestReport_Functional.aspx?Test_Seqno=WH133602" TargetMode="External"/><Relationship Id="rId139" Type="http://schemas.openxmlformats.org/officeDocument/2006/relationships/hyperlink" Target="http://reliability.mot.com/ALTV4/Reports/ALTTestReport_Functional.aspx?Test_Seqno=WH130894" TargetMode="External"/><Relationship Id="rId346" Type="http://schemas.openxmlformats.org/officeDocument/2006/relationships/hyperlink" Target="http://100.65.83.171/ReportServer/Pages/ReportViewer.aspx?%2fgALT_V3_Reports%2fAll+Failure+Info+Export&amp;rs:Command=Render&amp;rc:Parameters=False&amp;Test_Seqno=WH128213" TargetMode="External"/><Relationship Id="rId553" Type="http://schemas.openxmlformats.org/officeDocument/2006/relationships/hyperlink" Target="http://reliability.mot.com/ALTV4/Reports/ALTTestReport_Functional.aspx?Test_Seqno=WH127043" TargetMode="External"/><Relationship Id="rId760" Type="http://schemas.openxmlformats.org/officeDocument/2006/relationships/hyperlink" Target="http://100.65.83.171/ReportServer/Pages/ReportViewer.aspx?%2fgALT_V3_Reports%2fAll+Failure+Info+Export&amp;rs:Command=Render&amp;rc:Parameters=False&amp;Test_Seqno=WH124713" TargetMode="External"/><Relationship Id="rId192" Type="http://schemas.openxmlformats.org/officeDocument/2006/relationships/hyperlink" Target="http://100.65.83.171/ReportServer/Pages/ReportViewer.aspx?%2fgALT_V3_Reports%2fAll+Failure+Info+Export&amp;rs:Command=Render&amp;rc:Parameters=False&amp;Test_Seqno=WH130141" TargetMode="External"/><Relationship Id="rId206" Type="http://schemas.openxmlformats.org/officeDocument/2006/relationships/hyperlink" Target="http://100.65.83.171/ReportServer/Pages/ReportViewer.aspx?%2fgALT_V3_Reports%2fAll+Failure+Info+Export&amp;rs:Command=Render&amp;rc:Parameters=False&amp;Test_Seqno=WH130055" TargetMode="External"/><Relationship Id="rId413" Type="http://schemas.openxmlformats.org/officeDocument/2006/relationships/hyperlink" Target="http://reliability.mot.com/ALTV4/Reports/ALTTestReport_Functional.aspx?Test_Seqno=WH127727" TargetMode="External"/><Relationship Id="rId497" Type="http://schemas.openxmlformats.org/officeDocument/2006/relationships/hyperlink" Target="http://reliability.mot.com/ALTV4/Reports/ALTTestReport_Functional.aspx?Test_Seqno=WH127661" TargetMode="External"/><Relationship Id="rId620" Type="http://schemas.openxmlformats.org/officeDocument/2006/relationships/hyperlink" Target="http://100.65.83.171/ReportServer/Pages/ReportViewer.aspx?%2fgALT_V3_Reports%2fAll+Failure+Info+Export&amp;rs:Command=Render&amp;rc:Parameters=False&amp;Test_Seqno=RF126324" TargetMode="External"/><Relationship Id="rId718" Type="http://schemas.openxmlformats.org/officeDocument/2006/relationships/hyperlink" Target="http://100.65.83.171/ReportServer/Pages/ReportViewer.aspx?%2fgALT_V3_Reports%2fAll+Failure+Info+Export&amp;rs:Command=Render&amp;rc:Parameters=False&amp;Test_Seqno=WH125250" TargetMode="External"/><Relationship Id="rId357" Type="http://schemas.openxmlformats.org/officeDocument/2006/relationships/hyperlink" Target="http://reliability.mot.com/ALTV4/Reports/ALTTestReport_Functional.aspx?Test_Seqno=WH128110" TargetMode="External"/><Relationship Id="rId54" Type="http://schemas.openxmlformats.org/officeDocument/2006/relationships/hyperlink" Target="http://100.65.83.171/ReportServer/Pages/ReportViewer.aspx?%2fgALT_V3_Reports%2fAll+Failure+Info+Export&amp;rs:Command=Render&amp;rc:Parameters=False&amp;Test_Seqno=WH132904" TargetMode="External"/><Relationship Id="rId217" Type="http://schemas.openxmlformats.org/officeDocument/2006/relationships/hyperlink" Target="http://reliability.mot.com/ALTV4/Reports/ALTTestReport_Functional.aspx?Test_Seqno=WH129749" TargetMode="External"/><Relationship Id="rId564" Type="http://schemas.openxmlformats.org/officeDocument/2006/relationships/hyperlink" Target="http://100.65.83.171/ReportServer/Pages/ReportViewer.aspx?%2fgALT_V3_Reports%2fAll+Failure+Info+Export&amp;rs:Command=Render&amp;rc:Parameters=False&amp;Test_Seqno=WH127038" TargetMode="External"/><Relationship Id="rId424" Type="http://schemas.openxmlformats.org/officeDocument/2006/relationships/hyperlink" Target="http://100.65.83.171/ReportServer/Pages/ReportViewer.aspx?%2fgALT_V3_Reports%2fAll+Failure+Info+Export&amp;rs:Command=Render&amp;rc:Parameters=False&amp;Test_Seqno=WH127714" TargetMode="External"/><Relationship Id="rId631" Type="http://schemas.openxmlformats.org/officeDocument/2006/relationships/hyperlink" Target="http://reliability.mot.com/ALTV4/Reports/ALTTestReport_Functional.aspx?Test_Seqno=WH126095" TargetMode="External"/><Relationship Id="rId729" Type="http://schemas.openxmlformats.org/officeDocument/2006/relationships/hyperlink" Target="http://reliability.mot.com/ALTV4/Reports/ALTTestReport_Functional.aspx?Test_Seqno=WH125243" TargetMode="External"/><Relationship Id="rId270" Type="http://schemas.openxmlformats.org/officeDocument/2006/relationships/hyperlink" Target="http://100.65.83.171/ReportServer/Pages/ReportViewer.aspx?%2fgALT_V3_Reports%2fAll+Failure+Info+Export&amp;rs:Command=Render&amp;rc:Parameters=False&amp;Test_Seqno=WH129168" TargetMode="External"/><Relationship Id="rId65" Type="http://schemas.openxmlformats.org/officeDocument/2006/relationships/hyperlink" Target="http://reliability.mot.com/ALTV4/Reports/ALTTestReport_Functional.aspx?Test_Seqno=WH132077" TargetMode="External"/><Relationship Id="rId130" Type="http://schemas.openxmlformats.org/officeDocument/2006/relationships/hyperlink" Target="http://100.65.83.171/ReportServer/Pages/ReportViewer.aspx?%2fgALT_V3_Reports%2fAll+Failure+Info+Export&amp;rs:Command=Render&amp;rc:Parameters=False&amp;Test_Seqno=WH130997" TargetMode="External"/><Relationship Id="rId368" Type="http://schemas.openxmlformats.org/officeDocument/2006/relationships/hyperlink" Target="http://100.65.83.171/ReportServer/Pages/ReportViewer.aspx?%2fgALT_V3_Reports%2fAll+Failure+Info+Export&amp;rs:Command=Render&amp;rc:Parameters=False&amp;Test_Seqno=WH128082" TargetMode="External"/><Relationship Id="rId575" Type="http://schemas.openxmlformats.org/officeDocument/2006/relationships/hyperlink" Target="http://reliability.mot.com/ALTV4/Reports/ALTTestReport_Functional.aspx?Test_Seqno=RF126918" TargetMode="External"/><Relationship Id="rId228" Type="http://schemas.openxmlformats.org/officeDocument/2006/relationships/hyperlink" Target="http://100.65.83.171/ReportServer/Pages/ReportViewer.aspx?%2fgALT_V3_Reports%2fAll+Failure+Info+Export&amp;rs:Command=Render&amp;rc:Parameters=False&amp;Test_Seqno=RF129682" TargetMode="External"/><Relationship Id="rId435" Type="http://schemas.openxmlformats.org/officeDocument/2006/relationships/hyperlink" Target="http://reliability.mot.com/ALTV4/Reports/ALTTestReport_Functional.aspx?Test_Seqno=WH127708" TargetMode="External"/><Relationship Id="rId642" Type="http://schemas.openxmlformats.org/officeDocument/2006/relationships/hyperlink" Target="http://100.65.83.171/ReportServer/Pages/ReportViewer.aspx?%2fgALT_V3_Reports%2fAll+Failure+Info+Export&amp;rs:Command=Render&amp;rc:Parameters=False&amp;Test_Seqno=WH126090" TargetMode="External"/><Relationship Id="rId281" Type="http://schemas.openxmlformats.org/officeDocument/2006/relationships/hyperlink" Target="http://reliability.mot.com/ALTV4/Reports/ALTTestReport_Functional.aspx?Test_Seqno=WH128803" TargetMode="External"/><Relationship Id="rId502" Type="http://schemas.openxmlformats.org/officeDocument/2006/relationships/hyperlink" Target="http://100.65.83.171/ReportServer/Pages/ReportViewer.aspx?%2fgALT_V3_Reports%2fAll+Failure+Info+Export&amp;rs:Command=Render&amp;rc:Parameters=False&amp;Test_Seqno=WH127657" TargetMode="External"/><Relationship Id="rId76" Type="http://schemas.openxmlformats.org/officeDocument/2006/relationships/hyperlink" Target="http://100.65.83.171/ReportServer/Pages/ReportViewer.aspx?%2fgALT_V3_Reports%2fAll+Failure+Info+Export&amp;rs:Command=Render&amp;rc:Parameters=False&amp;Test_Seqno=WH131868" TargetMode="External"/><Relationship Id="rId141" Type="http://schemas.openxmlformats.org/officeDocument/2006/relationships/hyperlink" Target="http://reliability.mot.com/ALTV4/Reports/ALTTestReport_Functional.aspx?Test_Seqno=WH130893" TargetMode="External"/><Relationship Id="rId379" Type="http://schemas.openxmlformats.org/officeDocument/2006/relationships/hyperlink" Target="http://reliability.mot.com/ALTV4/Reports/ALTTestReport_Functional.aspx?Test_Seqno=WH127998" TargetMode="External"/><Relationship Id="rId586" Type="http://schemas.openxmlformats.org/officeDocument/2006/relationships/hyperlink" Target="http://100.65.83.171/ReportServer/Pages/ReportViewer.aspx?%2fgALT_V3_Reports%2fAll+Failure+Info+Export&amp;rs:Command=Render&amp;rc:Parameters=False&amp;Test_Seqno=RF126854" TargetMode="External"/><Relationship Id="rId7" Type="http://schemas.openxmlformats.org/officeDocument/2006/relationships/hyperlink" Target="http://reliability.mot.com/ALTV4/Reports/ALTTestReport_Functional.aspx?Test_Seqno=WH137128" TargetMode="External"/><Relationship Id="rId239" Type="http://schemas.openxmlformats.org/officeDocument/2006/relationships/hyperlink" Target="http://reliability.mot.com/ALTV4/Reports/ALTTestReport_Functional.aspx?Test_Seqno=RF129514" TargetMode="External"/><Relationship Id="rId446" Type="http://schemas.openxmlformats.org/officeDocument/2006/relationships/hyperlink" Target="http://100.65.83.171/ReportServer/Pages/ReportViewer.aspx?%2fgALT_V3_Reports%2fAll+Failure+Info+Export&amp;rs:Command=Render&amp;rc:Parameters=False&amp;Test_Seqno=WH127703" TargetMode="External"/><Relationship Id="rId653" Type="http://schemas.openxmlformats.org/officeDocument/2006/relationships/hyperlink" Target="http://reliability.mot.com/ALTV4/Reports/ALTTestReport_Functional.aspx?Test_Seqno=WH126084" TargetMode="External"/><Relationship Id="rId292" Type="http://schemas.openxmlformats.org/officeDocument/2006/relationships/hyperlink" Target="http://100.65.83.171/ReportServer/Pages/ReportViewer.aspx?%2fgALT_V3_Reports%2fAll+Failure+Info+Export&amp;rs:Command=Render&amp;rc:Parameters=False&amp;Test_Seqno=WH128564" TargetMode="External"/><Relationship Id="rId306" Type="http://schemas.openxmlformats.org/officeDocument/2006/relationships/hyperlink" Target="http://100.65.83.171/ReportServer/Pages/ReportViewer.aspx?%2fgALT_V3_Reports%2fAll+Failure+Info+Export&amp;rs:Command=Render&amp;rc:Parameters=False&amp;Test_Seqno=RF128484" TargetMode="External"/><Relationship Id="rId87" Type="http://schemas.openxmlformats.org/officeDocument/2006/relationships/hyperlink" Target="http://reliability.mot.com/ALTV4/Reports/ALTTestReport_Functional.aspx?Test_Seqno=WH131578" TargetMode="External"/><Relationship Id="rId513" Type="http://schemas.openxmlformats.org/officeDocument/2006/relationships/hyperlink" Target="http://reliability.mot.com/ALTV4/Reports/ALTTestReport_Functional.aspx?Test_Seqno=WH127588" TargetMode="External"/><Relationship Id="rId597" Type="http://schemas.openxmlformats.org/officeDocument/2006/relationships/hyperlink" Target="http://reliability.mot.com/ALTV4/Reports/ALTTestReport_Functional.aspx?Test_Seqno=RF126682" TargetMode="External"/><Relationship Id="rId720" Type="http://schemas.openxmlformats.org/officeDocument/2006/relationships/hyperlink" Target="http://100.65.83.171/ReportServer/Pages/ReportViewer.aspx?%2fgALT_V3_Reports%2fAll+Failure+Info+Export&amp;rs:Command=Render&amp;rc:Parameters=False&amp;Test_Seqno=WH125249" TargetMode="External"/><Relationship Id="rId152" Type="http://schemas.openxmlformats.org/officeDocument/2006/relationships/hyperlink" Target="http://100.65.83.171/ReportServer/Pages/ReportViewer.aspx?%2fgALT_V3_Reports%2fAll+Failure+Info+Export&amp;rs:Command=Render&amp;rc:Parameters=False&amp;Test_Seqno=WH130577" TargetMode="External"/><Relationship Id="rId457" Type="http://schemas.openxmlformats.org/officeDocument/2006/relationships/hyperlink" Target="http://reliability.mot.com/ALTV4/Reports/ALTTestReport_Functional.aspx?Test_Seqno=WH127693" TargetMode="External"/><Relationship Id="rId664" Type="http://schemas.openxmlformats.org/officeDocument/2006/relationships/hyperlink" Target="http://100.65.83.171/ReportServer/Pages/ReportViewer.aspx?%2fgALT_V3_Reports%2fAll+Failure+Info+Export&amp;rs:Command=Render&amp;rc:Parameters=False&amp;Test_Seqno=WH126079" TargetMode="External"/><Relationship Id="rId14" Type="http://schemas.openxmlformats.org/officeDocument/2006/relationships/hyperlink" Target="http://100.65.83.171/ReportServer/Pages/ReportViewer.aspx?%2fgALT_V3_Reports%2fAll+Failure+Info+Export&amp;rs:Command=Render&amp;rc:Parameters=False&amp;Test_Seqno=WH136982" TargetMode="External"/><Relationship Id="rId317" Type="http://schemas.openxmlformats.org/officeDocument/2006/relationships/hyperlink" Target="http://reliability.mot.com/ALTV4/Reports/ALTTestReport_Functional.aspx?Test_Seqno=WH128416" TargetMode="External"/><Relationship Id="rId524" Type="http://schemas.openxmlformats.org/officeDocument/2006/relationships/hyperlink" Target="http://100.65.83.171/ReportServer/Pages/ReportViewer.aspx?%2fgALT_V3_Reports%2fAll+Failure+Info+Export&amp;rs:Command=Render&amp;rc:Parameters=False&amp;Test_Seqno=RF127453" TargetMode="External"/><Relationship Id="rId731" Type="http://schemas.openxmlformats.org/officeDocument/2006/relationships/hyperlink" Target="http://reliability.mot.com/ALTV4/Reports/ALTTestReport_Functional.aspx?Test_Seqno=WH125242" TargetMode="External"/><Relationship Id="rId98" Type="http://schemas.openxmlformats.org/officeDocument/2006/relationships/hyperlink" Target="http://100.65.83.171/ReportServer/Pages/ReportViewer.aspx?%2fgALT_V3_Reports%2fAll+Failure+Info+Export&amp;rs:Command=Render&amp;rc:Parameters=False&amp;Test_Seqno=WH131374" TargetMode="External"/><Relationship Id="rId163" Type="http://schemas.openxmlformats.org/officeDocument/2006/relationships/hyperlink" Target="http://reliability.mot.com/ALTV4/Reports/ALTTestReport_Functional.aspx?Test_Seqno=WH130357" TargetMode="External"/><Relationship Id="rId370" Type="http://schemas.openxmlformats.org/officeDocument/2006/relationships/hyperlink" Target="http://100.65.83.171/ReportServer/Pages/ReportViewer.aspx?%2fgALT_V3_Reports%2fAll+Failure+Info+Export&amp;rs:Command=Render&amp;rc:Parameters=False&amp;Test_Seqno=WH128073" TargetMode="External"/><Relationship Id="rId230" Type="http://schemas.openxmlformats.org/officeDocument/2006/relationships/hyperlink" Target="http://100.65.83.171/ReportServer/Pages/ReportViewer.aspx?%2fgALT_V3_Reports%2fAll+Failure+Info+Export&amp;rs:Command=Render&amp;rc:Parameters=False&amp;Test_Seqno=WH129679" TargetMode="External"/><Relationship Id="rId468" Type="http://schemas.openxmlformats.org/officeDocument/2006/relationships/hyperlink" Target="http://100.65.83.171/ReportServer/Pages/ReportViewer.aspx?%2fgALT_V3_Reports%2fAll+Failure+Info+Export&amp;rs:Command=Render&amp;rc:Parameters=False&amp;Test_Seqno=WH127687" TargetMode="External"/><Relationship Id="rId675" Type="http://schemas.openxmlformats.org/officeDocument/2006/relationships/hyperlink" Target="http://reliability.mot.com/ALTV4/Reports/ALTTestReport_Functional.aspx?Test_Seqno=WH125897" TargetMode="External"/><Relationship Id="rId25" Type="http://schemas.openxmlformats.org/officeDocument/2006/relationships/hyperlink" Target="http://reliability.mot.com/ALTV4/Reports/ALTTestReport_Functional.aspx?Test_Seqno=RF136006" TargetMode="External"/><Relationship Id="rId328" Type="http://schemas.openxmlformats.org/officeDocument/2006/relationships/hyperlink" Target="http://100.65.83.171/ReportServer/Pages/ReportViewer.aspx?%2fgALT_V3_Reports%2fAll+Failure+Info+Export&amp;rs:Command=Render&amp;rc:Parameters=False&amp;Test_Seqno=WH128300" TargetMode="External"/><Relationship Id="rId535" Type="http://schemas.openxmlformats.org/officeDocument/2006/relationships/hyperlink" Target="http://reliability.mot.com/ALTV4/Reports/ALTTestReport_Functional.aspx?Test_Seqno=RF127282" TargetMode="External"/><Relationship Id="rId742" Type="http://schemas.openxmlformats.org/officeDocument/2006/relationships/hyperlink" Target="http://100.65.83.171/ReportServer/Pages/ReportViewer.aspx?%2fgALT_V3_Reports%2fAll+Failure+Info+Export&amp;rs:Command=Render&amp;rc:Parameters=False&amp;Test_Seqno=WH125237" TargetMode="External"/><Relationship Id="rId174" Type="http://schemas.openxmlformats.org/officeDocument/2006/relationships/hyperlink" Target="http://100.65.83.171/ReportServer/Pages/ReportViewer.aspx?%2fgALT_V3_Reports%2fAll+Failure+Info+Export&amp;rs:Command=Render&amp;rc:Parameters=False&amp;Test_Seqno=WH130291" TargetMode="External"/><Relationship Id="rId381" Type="http://schemas.openxmlformats.org/officeDocument/2006/relationships/hyperlink" Target="http://reliability.mot.com/ALTV4/Reports/ALTTestReport_Functional.aspx?Test_Seqno=WH127996" TargetMode="External"/><Relationship Id="rId602" Type="http://schemas.openxmlformats.org/officeDocument/2006/relationships/hyperlink" Target="http://100.65.83.171/ReportServer/Pages/ReportViewer.aspx?%2fgALT_V3_Reports%2fAll+Failure+Info+Export&amp;rs:Command=Render&amp;rc:Parameters=False&amp;Test_Seqno=RF126613" TargetMode="External"/><Relationship Id="rId241" Type="http://schemas.openxmlformats.org/officeDocument/2006/relationships/hyperlink" Target="http://reliability.mot.com/ALTV4/Reports/ALTTestReport_Functional.aspx?Test_Seqno=WH129487" TargetMode="External"/><Relationship Id="rId479" Type="http://schemas.openxmlformats.org/officeDocument/2006/relationships/hyperlink" Target="http://reliability.mot.com/ALTV4/Reports/ALTTestReport_Functional.aspx?Test_Seqno=WH127677" TargetMode="External"/><Relationship Id="rId686" Type="http://schemas.openxmlformats.org/officeDocument/2006/relationships/hyperlink" Target="http://100.65.83.171/ReportServer/Pages/ReportViewer.aspx?%2fgALT_V3_Reports%2fAll+Failure+Info+Export&amp;rs:Command=Render&amp;rc:Parameters=False&amp;Test_Seqno=WH125607" TargetMode="External"/><Relationship Id="rId36" Type="http://schemas.openxmlformats.org/officeDocument/2006/relationships/hyperlink" Target="http://100.65.83.171/ReportServer/Pages/ReportViewer.aspx?%2fgALT_V3_Reports%2fAll+Failure+Info+Export&amp;rs:Command=Render&amp;rc:Parameters=False&amp;Test_Seqno=RF135274" TargetMode="External"/><Relationship Id="rId339" Type="http://schemas.openxmlformats.org/officeDocument/2006/relationships/hyperlink" Target="http://reliability.mot.com/ALTV4/Reports/ALTTestReport_Functional.aspx?Test_Seqno=WH128294" TargetMode="External"/><Relationship Id="rId546" Type="http://schemas.openxmlformats.org/officeDocument/2006/relationships/hyperlink" Target="http://100.65.83.171/ReportServer/Pages/ReportViewer.aspx?%2fgALT_V3_Reports%2fAll+Failure+Info+Export&amp;rs:Command=Render&amp;rc:Parameters=False&amp;Test_Seqno=WH127139" TargetMode="External"/><Relationship Id="rId753" Type="http://schemas.openxmlformats.org/officeDocument/2006/relationships/hyperlink" Target="http://reliability.mot.com/ALTV4/Reports/ALTTestReport_Functional.aspx?Test_Seqno=RF124848" TargetMode="External"/><Relationship Id="rId101" Type="http://schemas.openxmlformats.org/officeDocument/2006/relationships/hyperlink" Target="http://reliability.mot.com/ALTV4/Reports/ALTTestReport_Functional.aspx?Test_Seqno=WH131342" TargetMode="External"/><Relationship Id="rId185" Type="http://schemas.openxmlformats.org/officeDocument/2006/relationships/hyperlink" Target="http://reliability.mot.com/ALTV4/Reports/ALTTestReport_Functional.aspx?Test_Seqno=WH130212" TargetMode="External"/><Relationship Id="rId406" Type="http://schemas.openxmlformats.org/officeDocument/2006/relationships/hyperlink" Target="http://100.65.83.171/ReportServer/Pages/ReportViewer.aspx?%2fgALT_V3_Reports%2fAll+Failure+Info+Export&amp;rs:Command=Render&amp;rc:Parameters=False&amp;Test_Seqno=RF127854" TargetMode="External"/><Relationship Id="rId392" Type="http://schemas.openxmlformats.org/officeDocument/2006/relationships/hyperlink" Target="http://100.65.83.171/ReportServer/Pages/ReportViewer.aspx?%2fgALT_V3_Reports%2fAll+Failure+Info+Export&amp;rs:Command=Render&amp;rc:Parameters=False&amp;Test_Seqno=WH127971" TargetMode="External"/><Relationship Id="rId613" Type="http://schemas.openxmlformats.org/officeDocument/2006/relationships/hyperlink" Target="http://reliability.mot.com/ALTV4/Reports/ALTTestReport_Functional.aspx?Test_Seqno=RF126400" TargetMode="External"/><Relationship Id="rId697" Type="http://schemas.openxmlformats.org/officeDocument/2006/relationships/hyperlink" Target="http://reliability.mot.com/ALTV4/Reports/ALTTestReport_Functional.aspx?Test_Seqno=RF125373" TargetMode="External"/><Relationship Id="rId252" Type="http://schemas.openxmlformats.org/officeDocument/2006/relationships/hyperlink" Target="http://100.65.83.171/ReportServer/Pages/ReportViewer.aspx?%2fgALT_V3_Reports%2fAll+Failure+Info+Export&amp;rs:Command=Render&amp;rc:Parameters=False&amp;Test_Seqno=WH129403" TargetMode="External"/><Relationship Id="rId47" Type="http://schemas.openxmlformats.org/officeDocument/2006/relationships/hyperlink" Target="http://reliability.mot.com/ALTV4/Reports/ALTTestReport_Functional.aspx?Test_Seqno=RF133254" TargetMode="External"/><Relationship Id="rId112" Type="http://schemas.openxmlformats.org/officeDocument/2006/relationships/hyperlink" Target="http://100.65.83.171/ReportServer/Pages/ReportViewer.aspx?%2fgALT_V3_Reports%2fAll+Failure+Info+Export&amp;rs:Command=Render&amp;rc:Parameters=False&amp;Test_Seqno=WH131092" TargetMode="External"/><Relationship Id="rId557" Type="http://schemas.openxmlformats.org/officeDocument/2006/relationships/hyperlink" Target="http://reliability.mot.com/ALTV4/Reports/ALTTestReport_Functional.aspx?Test_Seqno=WH127041" TargetMode="External"/><Relationship Id="rId764" Type="http://schemas.openxmlformats.org/officeDocument/2006/relationships/hyperlink" Target="http://100.65.83.171/ReportServer/Pages/ReportViewer.aspx?%2fgALT_V3_Reports%2fAll+Failure+Info+Export&amp;rs:Command=Render&amp;rc:Parameters=False&amp;Test_Seqno=WH124086" TargetMode="External"/><Relationship Id="rId196" Type="http://schemas.openxmlformats.org/officeDocument/2006/relationships/hyperlink" Target="http://100.65.83.171/ReportServer/Pages/ReportViewer.aspx?%2fgALT_V3_Reports%2fAll+Failure+Info+Export&amp;rs:Command=Render&amp;rc:Parameters=False&amp;Test_Seqno=WH130138" TargetMode="External"/><Relationship Id="rId417" Type="http://schemas.openxmlformats.org/officeDocument/2006/relationships/hyperlink" Target="http://reliability.mot.com/ALTV4/Reports/ALTTestReport_Functional.aspx?Test_Seqno=WH127725" TargetMode="External"/><Relationship Id="rId624" Type="http://schemas.openxmlformats.org/officeDocument/2006/relationships/hyperlink" Target="http://100.65.83.171/ReportServer/Pages/ReportViewer.aspx?%2fgALT_V3_Reports%2fAll+Failure+Info+Export&amp;rs:Command=Render&amp;rc:Parameters=False&amp;Test_Seqno=WH126266" TargetMode="External"/><Relationship Id="rId263" Type="http://schemas.openxmlformats.org/officeDocument/2006/relationships/hyperlink" Target="http://reliability.mot.com/ALTV4/Reports/ALTTestReport_Functional.aspx?Test_Seqno=WH129216" TargetMode="External"/><Relationship Id="rId470" Type="http://schemas.openxmlformats.org/officeDocument/2006/relationships/hyperlink" Target="http://100.65.83.171/ReportServer/Pages/ReportViewer.aspx?%2fgALT_V3_Reports%2fAll+Failure+Info+Export&amp;rs:Command=Render&amp;rc:Parameters=False&amp;Test_Seqno=WH127686" TargetMode="External"/><Relationship Id="rId58" Type="http://schemas.openxmlformats.org/officeDocument/2006/relationships/hyperlink" Target="http://100.65.83.171/ReportServer/Pages/ReportViewer.aspx?%2fgALT_V3_Reports%2fAll+Failure+Info+Export&amp;rs:Command=Render&amp;rc:Parameters=False&amp;Test_Seqno=RF132504" TargetMode="External"/><Relationship Id="rId123" Type="http://schemas.openxmlformats.org/officeDocument/2006/relationships/hyperlink" Target="http://reliability.mot.com/ALTV4/Reports/ALTTestReport_Functional.aspx?Test_Seqno=WH131051" TargetMode="External"/><Relationship Id="rId330" Type="http://schemas.openxmlformats.org/officeDocument/2006/relationships/hyperlink" Target="http://100.65.83.171/ReportServer/Pages/ReportViewer.aspx?%2fgALT_V3_Reports%2fAll+Failure+Info+Export&amp;rs:Command=Render&amp;rc:Parameters=False&amp;Test_Seqno=WH128299" TargetMode="External"/><Relationship Id="rId568" Type="http://schemas.openxmlformats.org/officeDocument/2006/relationships/hyperlink" Target="http://100.65.83.171/ReportServer/Pages/ReportViewer.aspx?%2fgALT_V3_Reports%2fAll+Failure+Info+Export&amp;rs:Command=Render&amp;rc:Parameters=False&amp;Test_Seqno=WH127036" TargetMode="External"/><Relationship Id="rId428" Type="http://schemas.openxmlformats.org/officeDocument/2006/relationships/hyperlink" Target="http://100.65.83.171/ReportServer/Pages/ReportViewer.aspx?%2fgALT_V3_Reports%2fAll+Failure+Info+Export&amp;rs:Command=Render&amp;rc:Parameters=False&amp;Test_Seqno=WH127712" TargetMode="External"/><Relationship Id="rId635" Type="http://schemas.openxmlformats.org/officeDocument/2006/relationships/hyperlink" Target="http://reliability.mot.com/ALTV4/Reports/ALTTestReport_Functional.aspx?Test_Seqno=WH126093" TargetMode="External"/><Relationship Id="rId274" Type="http://schemas.openxmlformats.org/officeDocument/2006/relationships/hyperlink" Target="http://100.65.83.171/ReportServer/Pages/ReportViewer.aspx?%2fgALT_V3_Reports%2fAll+Failure+Info+Export&amp;rs:Command=Render&amp;rc:Parameters=False&amp;Test_Seqno=WH129158" TargetMode="External"/><Relationship Id="rId481" Type="http://schemas.openxmlformats.org/officeDocument/2006/relationships/hyperlink" Target="http://reliability.mot.com/ALTV4/Reports/ALTTestReport_Functional.aspx?Test_Seqno=WH127675" TargetMode="External"/><Relationship Id="rId702" Type="http://schemas.openxmlformats.org/officeDocument/2006/relationships/hyperlink" Target="http://100.65.83.171/ReportServer/Pages/ReportViewer.aspx?%2fgALT_V3_Reports%2fAll+Failure+Info+Export&amp;rs:Command=Render&amp;rc:Parameters=False&amp;Test_Seqno=WH125339" TargetMode="External"/><Relationship Id="rId69" Type="http://schemas.openxmlformats.org/officeDocument/2006/relationships/hyperlink" Target="http://reliability.mot.com/ALTV4/Reports/ALTTestReport_Functional.aspx?Test_Seqno=WH131933" TargetMode="External"/><Relationship Id="rId134" Type="http://schemas.openxmlformats.org/officeDocument/2006/relationships/hyperlink" Target="http://100.65.83.171/ReportServer/Pages/ReportViewer.aspx?%2fgALT_V3_Reports%2fAll+Failure+Info+Export&amp;rs:Command=Render&amp;rc:Parameters=False&amp;Test_Seqno=WH130953" TargetMode="External"/><Relationship Id="rId579" Type="http://schemas.openxmlformats.org/officeDocument/2006/relationships/hyperlink" Target="http://reliability.mot.com/ALTV4/Reports/ALTTestReport_Functional.aspx?Test_Seqno=WH126872" TargetMode="External"/><Relationship Id="rId341" Type="http://schemas.openxmlformats.org/officeDocument/2006/relationships/hyperlink" Target="http://reliability.mot.com/ALTV4/Reports/ALTTestReport_Functional.aspx?Test_Seqno=WH128284" TargetMode="External"/><Relationship Id="rId439" Type="http://schemas.openxmlformats.org/officeDocument/2006/relationships/hyperlink" Target="http://reliability.mot.com/ALTV4/Reports/ALTTestReport_Functional.aspx?Test_Seqno=WH127706" TargetMode="External"/><Relationship Id="rId646" Type="http://schemas.openxmlformats.org/officeDocument/2006/relationships/hyperlink" Target="http://100.65.83.171/ReportServer/Pages/ReportViewer.aspx?%2fgALT_V3_Reports%2fAll+Failure+Info+Export&amp;rs:Command=Render&amp;rc:Parameters=False&amp;Test_Seqno=WH126088" TargetMode="External"/><Relationship Id="rId201" Type="http://schemas.openxmlformats.org/officeDocument/2006/relationships/hyperlink" Target="http://reliability.mot.com/ALTV4/Reports/ALTTestReport_Functional.aspx?Test_Seqno=WH130135" TargetMode="External"/><Relationship Id="rId285" Type="http://schemas.openxmlformats.org/officeDocument/2006/relationships/hyperlink" Target="http://reliability.mot.com/ALTV4/Reports/ALTTestReport_Functional.aspx?Test_Seqno=WH128683" TargetMode="External"/><Relationship Id="rId506" Type="http://schemas.openxmlformats.org/officeDocument/2006/relationships/hyperlink" Target="http://100.65.83.171/ReportServer/Pages/ReportViewer.aspx?%2fgALT_V3_Reports%2fAll+Failure+Info+Export&amp;rs:Command=Render&amp;rc:Parameters=False&amp;Test_Seqno=WH127610" TargetMode="External"/><Relationship Id="rId492" Type="http://schemas.openxmlformats.org/officeDocument/2006/relationships/hyperlink" Target="http://100.65.83.171/ReportServer/Pages/ReportViewer.aspx?%2fgALT_V3_Reports%2fAll+Failure+Info+Export&amp;rs:Command=Render&amp;rc:Parameters=False&amp;Test_Seqno=WH127664" TargetMode="External"/><Relationship Id="rId713" Type="http://schemas.openxmlformats.org/officeDocument/2006/relationships/hyperlink" Target="http://reliability.mot.com/ALTV4/Reports/ALTTestReport_Functional.aspx?Test_Seqno=WH125252" TargetMode="External"/><Relationship Id="rId145" Type="http://schemas.openxmlformats.org/officeDocument/2006/relationships/hyperlink" Target="http://reliability.mot.com/ALTV4/Reports/ALTTestReport_Functional.aspx?Test_Seqno=WH130722" TargetMode="External"/><Relationship Id="rId352" Type="http://schemas.openxmlformats.org/officeDocument/2006/relationships/hyperlink" Target="http://100.65.83.171/ReportServer/Pages/ReportViewer.aspx?%2fgALT_V3_Reports%2fAll+Failure+Info+Export&amp;rs:Command=Render&amp;rc:Parameters=False&amp;Test_Seqno=WH128209" TargetMode="External"/><Relationship Id="rId212" Type="http://schemas.openxmlformats.org/officeDocument/2006/relationships/hyperlink" Target="http://100.65.83.171/ReportServer/Pages/ReportViewer.aspx?%2fgALT_V3_Reports%2fAll+Failure+Info+Export&amp;rs:Command=Render&amp;rc:Parameters=False&amp;Test_Seqno=WH129909" TargetMode="External"/><Relationship Id="rId657" Type="http://schemas.openxmlformats.org/officeDocument/2006/relationships/hyperlink" Target="http://reliability.mot.com/ALTV4/Reports/ALTTestReport_Functional.aspx?Test_Seqno=WH126082" TargetMode="External"/><Relationship Id="rId296" Type="http://schemas.openxmlformats.org/officeDocument/2006/relationships/hyperlink" Target="http://100.65.83.171/ReportServer/Pages/ReportViewer.aspx?%2fgALT_V3_Reports%2fAll+Failure+Info+Export&amp;rs:Command=Render&amp;rc:Parameters=False&amp;Test_Seqno=WH128509" TargetMode="External"/><Relationship Id="rId517" Type="http://schemas.openxmlformats.org/officeDocument/2006/relationships/hyperlink" Target="http://reliability.mot.com/ALTV4/Reports/ALTTestReport_Functional.aspx?Test_Seqno=WH127586" TargetMode="External"/><Relationship Id="rId724" Type="http://schemas.openxmlformats.org/officeDocument/2006/relationships/hyperlink" Target="http://100.65.83.171/ReportServer/Pages/ReportViewer.aspx?%2fgALT_V3_Reports%2fAll+Failure+Info+Export&amp;rs:Command=Render&amp;rc:Parameters=False&amp;Test_Seqno=WH125246" TargetMode="External"/><Relationship Id="rId60" Type="http://schemas.openxmlformats.org/officeDocument/2006/relationships/hyperlink" Target="http://100.65.83.171/ReportServer/Pages/ReportViewer.aspx?%2fgALT_V3_Reports%2fAll+Failure+Info+Export&amp;rs:Command=Render&amp;rc:Parameters=False&amp;Test_Seqno=RF132398" TargetMode="External"/><Relationship Id="rId156" Type="http://schemas.openxmlformats.org/officeDocument/2006/relationships/hyperlink" Target="http://100.65.83.171/ReportServer/Pages/ReportViewer.aspx?%2fgALT_V3_Reports%2fAll+Failure+Info+Export&amp;rs:Command=Render&amp;rc:Parameters=False&amp;Test_Seqno=WH130532" TargetMode="External"/><Relationship Id="rId363" Type="http://schemas.openxmlformats.org/officeDocument/2006/relationships/hyperlink" Target="http://reliability.mot.com/ALTV4/Reports/ALTTestReport_Functional.aspx?Test_Seqno=WH128084" TargetMode="External"/><Relationship Id="rId570" Type="http://schemas.openxmlformats.org/officeDocument/2006/relationships/hyperlink" Target="http://100.65.83.171/ReportServer/Pages/ReportViewer.aspx?%2fgALT_V3_Reports%2fAll+Failure+Info+Export&amp;rs:Command=Render&amp;rc:Parameters=False&amp;Test_Seqno=WH127032" TargetMode="External"/><Relationship Id="rId223" Type="http://schemas.openxmlformats.org/officeDocument/2006/relationships/hyperlink" Target="http://reliability.mot.com/ALTV4/Reports/ALTTestReport_Functional.aspx?Test_Seqno=WH129717" TargetMode="External"/><Relationship Id="rId430" Type="http://schemas.openxmlformats.org/officeDocument/2006/relationships/hyperlink" Target="http://100.65.83.171/ReportServer/Pages/ReportViewer.aspx?%2fgALT_V3_Reports%2fAll+Failure+Info+Export&amp;rs:Command=Render&amp;rc:Parameters=False&amp;Test_Seqno=WH127711" TargetMode="External"/><Relationship Id="rId668" Type="http://schemas.openxmlformats.org/officeDocument/2006/relationships/hyperlink" Target="http://100.65.83.171/ReportServer/Pages/ReportViewer.aspx?%2fgALT_V3_Reports%2fAll+Failure+Info+Export&amp;rs:Command=Render&amp;rc:Parameters=False&amp;Test_Seqno=WH125958" TargetMode="External"/><Relationship Id="rId18" Type="http://schemas.openxmlformats.org/officeDocument/2006/relationships/hyperlink" Target="http://100.65.83.171/ReportServer/Pages/ReportViewer.aspx?%2fgALT_V3_Reports%2fAll+Failure+Info+Export&amp;rs:Command=Render&amp;rc:Parameters=False&amp;Test_Seqno=WH136352" TargetMode="External"/><Relationship Id="rId528" Type="http://schemas.openxmlformats.org/officeDocument/2006/relationships/hyperlink" Target="http://100.65.83.171/ReportServer/Pages/ReportViewer.aspx?%2fgALT_V3_Reports%2fAll+Failure+Info+Export&amp;rs:Command=Render&amp;rc:Parameters=False&amp;Test_Seqno=WH127351" TargetMode="External"/><Relationship Id="rId735" Type="http://schemas.openxmlformats.org/officeDocument/2006/relationships/hyperlink" Target="http://reliability.mot.com/ALTV4/Reports/ALTTestReport_Functional.aspx?Test_Seqno=WH125240" TargetMode="External"/><Relationship Id="rId167" Type="http://schemas.openxmlformats.org/officeDocument/2006/relationships/hyperlink" Target="http://reliability.mot.com/ALTV4/Reports/ALTTestReport_Functional.aspx?Test_Seqno=WH130355" TargetMode="External"/><Relationship Id="rId374" Type="http://schemas.openxmlformats.org/officeDocument/2006/relationships/hyperlink" Target="http://100.65.83.171/ReportServer/Pages/ReportViewer.aspx?%2fgALT_V3_Reports%2fAll+Failure+Info+Export&amp;rs:Command=Render&amp;rc:Parameters=False&amp;Test_Seqno=WH128071" TargetMode="External"/><Relationship Id="rId581" Type="http://schemas.openxmlformats.org/officeDocument/2006/relationships/hyperlink" Target="http://reliability.mot.com/ALTV4/Reports/ALTTestReport_Functional.aspx?Test_Seqno=WH126871" TargetMode="External"/><Relationship Id="rId71" Type="http://schemas.openxmlformats.org/officeDocument/2006/relationships/hyperlink" Target="http://reliability.mot.com/ALTV4/Reports/ALTTestReport_Functional.aspx?Test_Seqno=WH131932" TargetMode="External"/><Relationship Id="rId234" Type="http://schemas.openxmlformats.org/officeDocument/2006/relationships/hyperlink" Target="http://100.65.83.171/ReportServer/Pages/ReportViewer.aspx?%2fgALT_V3_Reports%2fAll+Failure+Info+Export&amp;rs:Command=Render&amp;rc:Parameters=False&amp;Test_Seqno=WH129562" TargetMode="External"/><Relationship Id="rId679" Type="http://schemas.openxmlformats.org/officeDocument/2006/relationships/hyperlink" Target="http://reliability.mot.com/ALTV4/Reports/ALTTestReport_Functional.aspx?Test_Seqno=WH125794" TargetMode="External"/><Relationship Id="rId2" Type="http://schemas.openxmlformats.org/officeDocument/2006/relationships/hyperlink" Target="http://100.65.83.171/ReportServer/Pages/ReportViewer.aspx?%2fgALT_V3_Reports%2fAll+Failure+Info+Export&amp;rs:Command=Render&amp;rc:Parameters=False&amp;Test_Seqno=RF138393" TargetMode="External"/><Relationship Id="rId29" Type="http://schemas.openxmlformats.org/officeDocument/2006/relationships/hyperlink" Target="http://reliability.mot.com/ALTV4/Reports/ALTTestReport_Functional.aspx?Test_Seqno=RF135990" TargetMode="External"/><Relationship Id="rId441" Type="http://schemas.openxmlformats.org/officeDocument/2006/relationships/hyperlink" Target="http://reliability.mot.com/ALTV4/Reports/ALTTestReport_Functional.aspx?Test_Seqno=WH127705" TargetMode="External"/><Relationship Id="rId539" Type="http://schemas.openxmlformats.org/officeDocument/2006/relationships/hyperlink" Target="http://reliability.mot.com/ALTV4/Reports/ALTTestReport_Functional.aspx?Test_Seqno=RF127193" TargetMode="External"/><Relationship Id="rId746" Type="http://schemas.openxmlformats.org/officeDocument/2006/relationships/hyperlink" Target="http://100.65.83.171/ReportServer/Pages/ReportViewer.aspx?%2fgALT_V3_Reports%2fAll+Failure+Info+Export&amp;rs:Command=Render&amp;rc:Parameters=False&amp;Test_Seqno=WH125131" TargetMode="External"/><Relationship Id="rId178" Type="http://schemas.openxmlformats.org/officeDocument/2006/relationships/hyperlink" Target="http://100.65.83.171/ReportServer/Pages/ReportViewer.aspx?%2fgALT_V3_Reports%2fAll+Failure+Info+Export&amp;rs:Command=Render&amp;rc:Parameters=False&amp;Test_Seqno=WH130217" TargetMode="External"/><Relationship Id="rId301" Type="http://schemas.openxmlformats.org/officeDocument/2006/relationships/hyperlink" Target="http://reliability.mot.com/ALTV4/Reports/ALTTestReport_Functional.aspx?Test_Seqno=WH128488" TargetMode="External"/><Relationship Id="rId82" Type="http://schemas.openxmlformats.org/officeDocument/2006/relationships/hyperlink" Target="http://100.65.83.171/ReportServer/Pages/ReportViewer.aspx?%2fgALT_V3_Reports%2fAll+Failure+Info+Export&amp;rs:Command=Render&amp;rc:Parameters=False&amp;Test_Seqno=WH131771" TargetMode="External"/><Relationship Id="rId385" Type="http://schemas.openxmlformats.org/officeDocument/2006/relationships/hyperlink" Target="http://reliability.mot.com/ALTV4/Reports/ALTTestReport_Functional.aspx?Test_Seqno=WH127978" TargetMode="External"/><Relationship Id="rId592" Type="http://schemas.openxmlformats.org/officeDocument/2006/relationships/hyperlink" Target="http://100.65.83.171/ReportServer/Pages/ReportViewer.aspx?%2fgALT_V3_Reports%2fAll+Failure+Info+Export&amp;rs:Command=Render&amp;rc:Parameters=False&amp;Test_Seqno=WH126809" TargetMode="External"/><Relationship Id="rId606" Type="http://schemas.openxmlformats.org/officeDocument/2006/relationships/hyperlink" Target="http://100.65.83.171/ReportServer/Pages/ReportViewer.aspx?%2fgALT_V3_Reports%2fAll+Failure+Info+Export&amp;rs:Command=Render&amp;rc:Parameters=False&amp;Test_Seqno=WH126515" TargetMode="External"/><Relationship Id="rId245" Type="http://schemas.openxmlformats.org/officeDocument/2006/relationships/hyperlink" Target="http://reliability.mot.com/ALTV4/Reports/ALTTestReport_Functional.aspx?Test_Seqno=WH129485" TargetMode="External"/><Relationship Id="rId452" Type="http://schemas.openxmlformats.org/officeDocument/2006/relationships/hyperlink" Target="http://100.65.83.171/ReportServer/Pages/ReportViewer.aspx?%2fgALT_V3_Reports%2fAll+Failure+Info+Export&amp;rs:Command=Render&amp;rc:Parameters=False&amp;Test_Seqno=WH127698" TargetMode="External"/><Relationship Id="rId105" Type="http://schemas.openxmlformats.org/officeDocument/2006/relationships/hyperlink" Target="http://reliability.mot.com/ALTV4/Reports/ALTTestReport_Functional.aspx?Test_Seqno=WH131278" TargetMode="External"/><Relationship Id="rId312" Type="http://schemas.openxmlformats.org/officeDocument/2006/relationships/hyperlink" Target="http://100.65.83.171/ReportServer/Pages/ReportViewer.aspx?%2fgALT_V3_Reports%2fAll+Failure+Info+Export&amp;rs:Command=Render&amp;rc:Parameters=False&amp;Test_Seqno=RF128451" TargetMode="External"/><Relationship Id="rId757" Type="http://schemas.openxmlformats.org/officeDocument/2006/relationships/hyperlink" Target="http://reliability.mot.com/ALTV4/Reports/ALTTestReport_Functional.aspx?Test_Seqno=RF124833" TargetMode="External"/><Relationship Id="rId93" Type="http://schemas.openxmlformats.org/officeDocument/2006/relationships/hyperlink" Target="http://reliability.mot.com/ALTV4/Reports/ALTTestReport_Functional.aspx?Test_Seqno=WH131383" TargetMode="External"/><Relationship Id="rId189" Type="http://schemas.openxmlformats.org/officeDocument/2006/relationships/hyperlink" Target="http://reliability.mot.com/ALTV4/Reports/ALTTestReport_Functional.aspx?Test_Seqno=WH130143" TargetMode="External"/><Relationship Id="rId396" Type="http://schemas.openxmlformats.org/officeDocument/2006/relationships/hyperlink" Target="http://100.65.83.171/ReportServer/Pages/ReportViewer.aspx?%2fgALT_V3_Reports%2fAll+Failure+Info+Export&amp;rs:Command=Render&amp;rc:Parameters=False&amp;Test_Seqno=WH127969" TargetMode="External"/><Relationship Id="rId617" Type="http://schemas.openxmlformats.org/officeDocument/2006/relationships/hyperlink" Target="http://reliability.mot.com/ALTV4/Reports/ALTTestReport_Functional.aspx?Test_Seqno=RF126329" TargetMode="External"/><Relationship Id="rId256" Type="http://schemas.openxmlformats.org/officeDocument/2006/relationships/hyperlink" Target="http://100.65.83.171/ReportServer/Pages/ReportViewer.aspx?%2fgALT_V3_Reports%2fAll+Failure+Info+Export&amp;rs:Command=Render&amp;rc:Parameters=False&amp;Test_Seqno=WH129268" TargetMode="External"/><Relationship Id="rId463" Type="http://schemas.openxmlformats.org/officeDocument/2006/relationships/hyperlink" Target="http://reliability.mot.com/ALTV4/Reports/ALTTestReport_Functional.aspx?Test_Seqno=WH127690" TargetMode="External"/><Relationship Id="rId670" Type="http://schemas.openxmlformats.org/officeDocument/2006/relationships/hyperlink" Target="http://100.65.83.171/ReportServer/Pages/ReportViewer.aspx?%2fgALT_V3_Reports%2fAll+Failure+Info+Export&amp;rs:Command=Render&amp;rc:Parameters=False&amp;Test_Seqno=WH125957" TargetMode="External"/><Relationship Id="rId116" Type="http://schemas.openxmlformats.org/officeDocument/2006/relationships/hyperlink" Target="http://100.65.83.171/ReportServer/Pages/ReportViewer.aspx?%2fgALT_V3_Reports%2fAll+Failure+Info+Export&amp;rs:Command=Render&amp;rc:Parameters=False&amp;Test_Seqno=WH131089" TargetMode="External"/><Relationship Id="rId323" Type="http://schemas.openxmlformats.org/officeDocument/2006/relationships/hyperlink" Target="http://reliability.mot.com/ALTV4/Reports/ALTTestReport_Functional.aspx?Test_Seqno=WH128302" TargetMode="External"/><Relationship Id="rId530" Type="http://schemas.openxmlformats.org/officeDocument/2006/relationships/hyperlink" Target="http://100.65.83.171/ReportServer/Pages/ReportViewer.aspx?%2fgALT_V3_Reports%2fAll+Failure+Info+Export&amp;rs:Command=Render&amp;rc:Parameters=False&amp;Test_Seqno=WH127285" TargetMode="External"/><Relationship Id="rId20" Type="http://schemas.openxmlformats.org/officeDocument/2006/relationships/hyperlink" Target="http://100.65.83.171/ReportServer/Pages/ReportViewer.aspx?%2fgALT_V3_Reports%2fAll+Failure+Info+Export&amp;rs:Command=Render&amp;rc:Parameters=False&amp;Test_Seqno=WH136120" TargetMode="External"/><Relationship Id="rId628" Type="http://schemas.openxmlformats.org/officeDocument/2006/relationships/hyperlink" Target="http://100.65.83.171/ReportServer/Pages/ReportViewer.aspx?%2fgALT_V3_Reports%2fAll+Failure+Info+Export&amp;rs:Command=Render&amp;rc:Parameters=False&amp;Test_Seqno=RF126160" TargetMode="External"/><Relationship Id="rId267" Type="http://schemas.openxmlformats.org/officeDocument/2006/relationships/hyperlink" Target="http://reliability.mot.com/ALTV4/Reports/ALTTestReport_Functional.aspx?Test_Seqno=WH129209" TargetMode="External"/><Relationship Id="rId474" Type="http://schemas.openxmlformats.org/officeDocument/2006/relationships/hyperlink" Target="http://100.65.83.171/ReportServer/Pages/ReportViewer.aspx?%2fgALT_V3_Reports%2fAll+Failure+Info+Export&amp;rs:Command=Render&amp;rc:Parameters=False&amp;Test_Seqno=WH127684" TargetMode="External"/><Relationship Id="rId127" Type="http://schemas.openxmlformats.org/officeDocument/2006/relationships/hyperlink" Target="http://reliability.mot.com/ALTV4/Reports/ALTTestReport_Functional.aspx?Test_Seqno=WH131032" TargetMode="External"/><Relationship Id="rId681" Type="http://schemas.openxmlformats.org/officeDocument/2006/relationships/hyperlink" Target="http://reliability.mot.com/ALTV4/Reports/ALTTestReport_Functional.aspx?Test_Seqno=RF125747" TargetMode="External"/><Relationship Id="rId31" Type="http://schemas.openxmlformats.org/officeDocument/2006/relationships/hyperlink" Target="http://reliability.mot.com/ALTV4/Reports/ALTTestReport_Functional.aspx?Test_Seqno=RF135973" TargetMode="External"/><Relationship Id="rId334" Type="http://schemas.openxmlformats.org/officeDocument/2006/relationships/hyperlink" Target="http://100.65.83.171/ReportServer/Pages/ReportViewer.aspx?%2fgALT_V3_Reports%2fAll+Failure+Info+Export&amp;rs:Command=Render&amp;rc:Parameters=False&amp;Test_Seqno=WH128297" TargetMode="External"/><Relationship Id="rId541" Type="http://schemas.openxmlformats.org/officeDocument/2006/relationships/hyperlink" Target="http://reliability.mot.com/ALTV4/Reports/ALTTestReport_Functional.aspx?Test_Seqno=WH127188" TargetMode="External"/><Relationship Id="rId639" Type="http://schemas.openxmlformats.org/officeDocument/2006/relationships/hyperlink" Target="http://reliability.mot.com/ALTV4/Reports/ALTTestReport_Functional.aspx?Test_Seqno=WH126091" TargetMode="External"/><Relationship Id="rId4" Type="http://schemas.openxmlformats.org/officeDocument/2006/relationships/hyperlink" Target="http://100.65.83.171/ReportServer/Pages/ReportViewer.aspx?%2fgALT_V3_Reports%2fAll+Failure+Info+Export&amp;rs:Command=Render&amp;rc:Parameters=False&amp;Test_Seqno=WH138179" TargetMode="External"/><Relationship Id="rId180" Type="http://schemas.openxmlformats.org/officeDocument/2006/relationships/hyperlink" Target="http://100.65.83.171/ReportServer/Pages/ReportViewer.aspx?%2fgALT_V3_Reports%2fAll+Failure+Info+Export&amp;rs:Command=Render&amp;rc:Parameters=False&amp;Test_Seqno=WH130216" TargetMode="External"/><Relationship Id="rId236" Type="http://schemas.openxmlformats.org/officeDocument/2006/relationships/hyperlink" Target="http://100.65.83.171/ReportServer/Pages/ReportViewer.aspx?%2fgALT_V3_Reports%2fAll+Failure+Info+Export&amp;rs:Command=Render&amp;rc:Parameters=False&amp;Test_Seqno=WH129561" TargetMode="External"/><Relationship Id="rId278" Type="http://schemas.openxmlformats.org/officeDocument/2006/relationships/hyperlink" Target="http://100.65.83.171/ReportServer/Pages/ReportViewer.aspx?%2fgALT_V3_Reports%2fAll+Failure+Info+Export&amp;rs:Command=Render&amp;rc:Parameters=False&amp;Test_Seqno=WH128895" TargetMode="External"/><Relationship Id="rId401" Type="http://schemas.openxmlformats.org/officeDocument/2006/relationships/hyperlink" Target="http://reliability.mot.com/ALTV4/Reports/ALTTestReport_Functional.aspx?Test_Seqno=RF127943" TargetMode="External"/><Relationship Id="rId443" Type="http://schemas.openxmlformats.org/officeDocument/2006/relationships/hyperlink" Target="http://reliability.mot.com/ALTV4/Reports/ALTTestReport_Functional.aspx?Test_Seqno=WH127704" TargetMode="External"/><Relationship Id="rId650" Type="http://schemas.openxmlformats.org/officeDocument/2006/relationships/hyperlink" Target="http://100.65.83.171/ReportServer/Pages/ReportViewer.aspx?%2fgALT_V3_Reports%2fAll+Failure+Info+Export&amp;rs:Command=Render&amp;rc:Parameters=False&amp;Test_Seqno=WH126086" TargetMode="External"/><Relationship Id="rId303" Type="http://schemas.openxmlformats.org/officeDocument/2006/relationships/hyperlink" Target="http://reliability.mot.com/ALTV4/Reports/ALTTestReport_Functional.aspx?Test_Seqno=WH128487" TargetMode="External"/><Relationship Id="rId485" Type="http://schemas.openxmlformats.org/officeDocument/2006/relationships/hyperlink" Target="http://reliability.mot.com/ALTV4/Reports/ALTTestReport_Functional.aspx?Test_Seqno=WH127672" TargetMode="External"/><Relationship Id="rId692" Type="http://schemas.openxmlformats.org/officeDocument/2006/relationships/hyperlink" Target="http://100.65.83.171/ReportServer/Pages/ReportViewer.aspx?%2fgALT_V3_Reports%2fAll+Failure+Info+Export&amp;rs:Command=Render&amp;rc:Parameters=False&amp;Test_Seqno=WH125464" TargetMode="External"/><Relationship Id="rId706" Type="http://schemas.openxmlformats.org/officeDocument/2006/relationships/hyperlink" Target="http://100.65.83.171/ReportServer/Pages/ReportViewer.aspx?%2fgALT_V3_Reports%2fAll+Failure+Info+Export&amp;rs:Command=Render&amp;rc:Parameters=False&amp;Test_Seqno=WH125256" TargetMode="External"/><Relationship Id="rId748" Type="http://schemas.openxmlformats.org/officeDocument/2006/relationships/hyperlink" Target="http://100.65.83.171/ReportServer/Pages/ReportViewer.aspx?%2fgALT_V3_Reports%2fAll+Failure+Info+Export&amp;rs:Command=Render&amp;rc:Parameters=False&amp;Test_Seqno=WH125123" TargetMode="External"/><Relationship Id="rId42" Type="http://schemas.openxmlformats.org/officeDocument/2006/relationships/hyperlink" Target="http://100.65.83.171/ReportServer/Pages/ReportViewer.aspx?%2fgALT_V3_Reports%2fAll+Failure+Info+Export&amp;rs:Command=Render&amp;rc:Parameters=False&amp;Test_Seqno=RF133658" TargetMode="External"/><Relationship Id="rId84" Type="http://schemas.openxmlformats.org/officeDocument/2006/relationships/hyperlink" Target="http://100.65.83.171/ReportServer/Pages/ReportViewer.aspx?%2fgALT_V3_Reports%2fAll+Failure+Info+Export&amp;rs:Command=Render&amp;rc:Parameters=False&amp;Test_Seqno=WH131694" TargetMode="External"/><Relationship Id="rId138" Type="http://schemas.openxmlformats.org/officeDocument/2006/relationships/hyperlink" Target="http://100.65.83.171/ReportServer/Pages/ReportViewer.aspx?%2fgALT_V3_Reports%2fAll+Failure+Info+Export&amp;rs:Command=Render&amp;rc:Parameters=False&amp;Test_Seqno=WH130895" TargetMode="External"/><Relationship Id="rId345" Type="http://schemas.openxmlformats.org/officeDocument/2006/relationships/hyperlink" Target="http://reliability.mot.com/ALTV4/Reports/ALTTestReport_Functional.aspx?Test_Seqno=WH128213" TargetMode="External"/><Relationship Id="rId387" Type="http://schemas.openxmlformats.org/officeDocument/2006/relationships/hyperlink" Target="http://reliability.mot.com/ALTV4/Reports/ALTTestReport_Functional.aspx?Test_Seqno=WH127973" TargetMode="External"/><Relationship Id="rId510" Type="http://schemas.openxmlformats.org/officeDocument/2006/relationships/hyperlink" Target="http://100.65.83.171/ReportServer/Pages/ReportViewer.aspx?%2fgALT_V3_Reports%2fAll+Failure+Info+Export&amp;rs:Command=Render&amp;rc:Parameters=False&amp;Test_Seqno=WH127590" TargetMode="External"/><Relationship Id="rId552" Type="http://schemas.openxmlformats.org/officeDocument/2006/relationships/hyperlink" Target="http://100.65.83.171/ReportServer/Pages/ReportViewer.aspx?%2fgALT_V3_Reports%2fAll+Failure+Info+Export&amp;rs:Command=Render&amp;rc:Parameters=False&amp;Test_Seqno=WH127044" TargetMode="External"/><Relationship Id="rId594" Type="http://schemas.openxmlformats.org/officeDocument/2006/relationships/hyperlink" Target="http://100.65.83.171/ReportServer/Pages/ReportViewer.aspx?%2fgALT_V3_Reports%2fAll+Failure+Info+Export&amp;rs:Command=Render&amp;rc:Parameters=False&amp;Test_Seqno=WH126808" TargetMode="External"/><Relationship Id="rId608" Type="http://schemas.openxmlformats.org/officeDocument/2006/relationships/hyperlink" Target="http://100.65.83.171/ReportServer/Pages/ReportViewer.aspx?%2fgALT_V3_Reports%2fAll+Failure+Info+Export&amp;rs:Command=Render&amp;rc:Parameters=False&amp;Test_Seqno=WH126503" TargetMode="External"/><Relationship Id="rId191" Type="http://schemas.openxmlformats.org/officeDocument/2006/relationships/hyperlink" Target="http://reliability.mot.com/ALTV4/Reports/ALTTestReport_Functional.aspx?Test_Seqno=WH130141" TargetMode="External"/><Relationship Id="rId205" Type="http://schemas.openxmlformats.org/officeDocument/2006/relationships/hyperlink" Target="http://reliability.mot.com/ALTV4/Reports/ALTTestReport_Functional.aspx?Test_Seqno=WH130055" TargetMode="External"/><Relationship Id="rId247" Type="http://schemas.openxmlformats.org/officeDocument/2006/relationships/hyperlink" Target="http://reliability.mot.com/ALTV4/Reports/ALTTestReport_Functional.aspx?Test_Seqno=WH129483" TargetMode="External"/><Relationship Id="rId412" Type="http://schemas.openxmlformats.org/officeDocument/2006/relationships/hyperlink" Target="http://100.65.83.171/ReportServer/Pages/ReportViewer.aspx?%2fgALT_V3_Reports%2fAll+Failure+Info+Export&amp;rs:Command=Render&amp;rc:Parameters=False&amp;Test_Seqno=WH127728" TargetMode="External"/><Relationship Id="rId107" Type="http://schemas.openxmlformats.org/officeDocument/2006/relationships/hyperlink" Target="http://reliability.mot.com/ALTV4/Reports/ALTTestReport_Functional.aspx?Test_Seqno=WH131223" TargetMode="External"/><Relationship Id="rId289" Type="http://schemas.openxmlformats.org/officeDocument/2006/relationships/hyperlink" Target="http://reliability.mot.com/ALTV4/Reports/ALTTestReport_Functional.aspx?Test_Seqno=WH128597" TargetMode="External"/><Relationship Id="rId454" Type="http://schemas.openxmlformats.org/officeDocument/2006/relationships/hyperlink" Target="http://100.65.83.171/ReportServer/Pages/ReportViewer.aspx?%2fgALT_V3_Reports%2fAll+Failure+Info+Export&amp;rs:Command=Render&amp;rc:Parameters=False&amp;Test_Seqno=WH127695" TargetMode="External"/><Relationship Id="rId496" Type="http://schemas.openxmlformats.org/officeDocument/2006/relationships/hyperlink" Target="http://100.65.83.171/ReportServer/Pages/ReportViewer.aspx?%2fgALT_V3_Reports%2fAll+Failure+Info+Export&amp;rs:Command=Render&amp;rc:Parameters=False&amp;Test_Seqno=WH127662" TargetMode="External"/><Relationship Id="rId661" Type="http://schemas.openxmlformats.org/officeDocument/2006/relationships/hyperlink" Target="http://reliability.mot.com/ALTV4/Reports/ALTTestReport_Functional.aspx?Test_Seqno=WH126080" TargetMode="External"/><Relationship Id="rId717" Type="http://schemas.openxmlformats.org/officeDocument/2006/relationships/hyperlink" Target="http://reliability.mot.com/ALTV4/Reports/ALTTestReport_Functional.aspx?Test_Seqno=WH125250" TargetMode="External"/><Relationship Id="rId759" Type="http://schemas.openxmlformats.org/officeDocument/2006/relationships/hyperlink" Target="http://reliability.mot.com/ALTV4/Reports/ALTTestReport_Functional.aspx?Test_Seqno=WH124713" TargetMode="External"/><Relationship Id="rId11" Type="http://schemas.openxmlformats.org/officeDocument/2006/relationships/hyperlink" Target="http://reliability.mot.com/ALTV4/Reports/ALTTestReport_Functional.aspx?Test_Seqno=RF137121" TargetMode="External"/><Relationship Id="rId53" Type="http://schemas.openxmlformats.org/officeDocument/2006/relationships/hyperlink" Target="http://reliability.mot.com/ALTV4/Reports/ALTTestReport_Functional.aspx?Test_Seqno=WH132904" TargetMode="External"/><Relationship Id="rId149" Type="http://schemas.openxmlformats.org/officeDocument/2006/relationships/hyperlink" Target="http://reliability.mot.com/ALTV4/Reports/ALTTestReport_Functional.aspx?Test_Seqno=WH130578" TargetMode="External"/><Relationship Id="rId314" Type="http://schemas.openxmlformats.org/officeDocument/2006/relationships/hyperlink" Target="http://100.65.83.171/ReportServer/Pages/ReportViewer.aspx?%2fgALT_V3_Reports%2fAll+Failure+Info+Export&amp;rs:Command=Render&amp;rc:Parameters=False&amp;Test_Seqno=WH128419" TargetMode="External"/><Relationship Id="rId356" Type="http://schemas.openxmlformats.org/officeDocument/2006/relationships/hyperlink" Target="http://100.65.83.171/ReportServer/Pages/ReportViewer.aspx?%2fgALT_V3_Reports%2fAll+Failure+Info+Export&amp;rs:Command=Render&amp;rc:Parameters=False&amp;Test_Seqno=WH128111" TargetMode="External"/><Relationship Id="rId398" Type="http://schemas.openxmlformats.org/officeDocument/2006/relationships/hyperlink" Target="http://100.65.83.171/ReportServer/Pages/ReportViewer.aspx?%2fgALT_V3_Reports%2fAll+Failure+Info+Export&amp;rs:Command=Render&amp;rc:Parameters=False&amp;Test_Seqno=WH127968" TargetMode="External"/><Relationship Id="rId521" Type="http://schemas.openxmlformats.org/officeDocument/2006/relationships/hyperlink" Target="http://reliability.mot.com/ALTV4/Reports/ALTTestReport_Functional.aspx?Test_Seqno=RF127569" TargetMode="External"/><Relationship Id="rId563" Type="http://schemas.openxmlformats.org/officeDocument/2006/relationships/hyperlink" Target="http://reliability.mot.com/ALTV4/Reports/ALTTestReport_Functional.aspx?Test_Seqno=WH127038" TargetMode="External"/><Relationship Id="rId619" Type="http://schemas.openxmlformats.org/officeDocument/2006/relationships/hyperlink" Target="http://reliability.mot.com/ALTV4/Reports/ALTTestReport_Functional.aspx?Test_Seqno=RF126324" TargetMode="External"/><Relationship Id="rId95" Type="http://schemas.openxmlformats.org/officeDocument/2006/relationships/hyperlink" Target="http://reliability.mot.com/ALTV4/Reports/ALTTestReport_Functional.aspx?Test_Seqno=WH131379" TargetMode="External"/><Relationship Id="rId160" Type="http://schemas.openxmlformats.org/officeDocument/2006/relationships/hyperlink" Target="http://100.65.83.171/ReportServer/Pages/ReportViewer.aspx?%2fgALT_V3_Reports%2fAll+Failure+Info+Export&amp;rs:Command=Render&amp;rc:Parameters=False&amp;Test_Seqno=RF130447" TargetMode="External"/><Relationship Id="rId216" Type="http://schemas.openxmlformats.org/officeDocument/2006/relationships/hyperlink" Target="http://100.65.83.171/ReportServer/Pages/ReportViewer.aspx?%2fgALT_V3_Reports%2fAll+Failure+Info+Export&amp;rs:Command=Render&amp;rc:Parameters=False&amp;Test_Seqno=WH129814" TargetMode="External"/><Relationship Id="rId423" Type="http://schemas.openxmlformats.org/officeDocument/2006/relationships/hyperlink" Target="http://reliability.mot.com/ALTV4/Reports/ALTTestReport_Functional.aspx?Test_Seqno=WH127714" TargetMode="External"/><Relationship Id="rId258" Type="http://schemas.openxmlformats.org/officeDocument/2006/relationships/hyperlink" Target="http://100.65.83.171/ReportServer/Pages/ReportViewer.aspx?%2fgALT_V3_Reports%2fAll+Failure+Info+Export&amp;rs:Command=Render&amp;rc:Parameters=False&amp;Test_Seqno=RF129251" TargetMode="External"/><Relationship Id="rId465" Type="http://schemas.openxmlformats.org/officeDocument/2006/relationships/hyperlink" Target="http://reliability.mot.com/ALTV4/Reports/ALTTestReport_Functional.aspx?Test_Seqno=WH127689" TargetMode="External"/><Relationship Id="rId630" Type="http://schemas.openxmlformats.org/officeDocument/2006/relationships/hyperlink" Target="http://100.65.83.171/ReportServer/Pages/ReportViewer.aspx?%2fgALT_V3_Reports%2fAll+Failure+Info+Export&amp;rs:Command=Render&amp;rc:Parameters=False&amp;Test_Seqno=WH126115" TargetMode="External"/><Relationship Id="rId672" Type="http://schemas.openxmlformats.org/officeDocument/2006/relationships/hyperlink" Target="http://100.65.83.171/ReportServer/Pages/ReportViewer.aspx?%2fgALT_V3_Reports%2fAll+Failure+Info+Export&amp;rs:Command=Render&amp;rc:Parameters=False&amp;Test_Seqno=WH125956" TargetMode="External"/><Relationship Id="rId728" Type="http://schemas.openxmlformats.org/officeDocument/2006/relationships/hyperlink" Target="http://100.65.83.171/ReportServer/Pages/ReportViewer.aspx?%2fgALT_V3_Reports%2fAll+Failure+Info+Export&amp;rs:Command=Render&amp;rc:Parameters=False&amp;Test_Seqno=WH125244" TargetMode="External"/><Relationship Id="rId22" Type="http://schemas.openxmlformats.org/officeDocument/2006/relationships/hyperlink" Target="http://100.65.83.171/ReportServer/Pages/ReportViewer.aspx?%2fgALT_V3_Reports%2fAll+Failure+Info+Export&amp;rs:Command=Render&amp;rc:Parameters=False&amp;Test_Seqno=WH136117" TargetMode="External"/><Relationship Id="rId64" Type="http://schemas.openxmlformats.org/officeDocument/2006/relationships/hyperlink" Target="http://100.65.83.171/ReportServer/Pages/ReportViewer.aspx?%2fgALT_V3_Reports%2fAll+Failure+Info+Export&amp;rs:Command=Render&amp;rc:Parameters=False&amp;Test_Seqno=RF132231" TargetMode="External"/><Relationship Id="rId118" Type="http://schemas.openxmlformats.org/officeDocument/2006/relationships/hyperlink" Target="http://100.65.83.171/ReportServer/Pages/ReportViewer.aspx?%2fgALT_V3_Reports%2fAll+Failure+Info+Export&amp;rs:Command=Render&amp;rc:Parameters=False&amp;Test_Seqno=WH131069" TargetMode="External"/><Relationship Id="rId325" Type="http://schemas.openxmlformats.org/officeDocument/2006/relationships/hyperlink" Target="http://reliability.mot.com/ALTV4/Reports/ALTTestReport_Functional.aspx?Test_Seqno=WH128301" TargetMode="External"/><Relationship Id="rId367" Type="http://schemas.openxmlformats.org/officeDocument/2006/relationships/hyperlink" Target="http://reliability.mot.com/ALTV4/Reports/ALTTestReport_Functional.aspx?Test_Seqno=WH128082" TargetMode="External"/><Relationship Id="rId532" Type="http://schemas.openxmlformats.org/officeDocument/2006/relationships/hyperlink" Target="http://100.65.83.171/ReportServer/Pages/ReportViewer.aspx?%2fgALT_V3_Reports%2fAll+Failure+Info+Export&amp;rs:Command=Render&amp;rc:Parameters=False&amp;Test_Seqno=RF127284" TargetMode="External"/><Relationship Id="rId574" Type="http://schemas.openxmlformats.org/officeDocument/2006/relationships/hyperlink" Target="http://100.65.83.171/ReportServer/Pages/ReportViewer.aspx?%2fgALT_V3_Reports%2fAll+Failure+Info+Export&amp;rs:Command=Render&amp;rc:Parameters=False&amp;Test_Seqno=RF126919" TargetMode="External"/><Relationship Id="rId171" Type="http://schemas.openxmlformats.org/officeDocument/2006/relationships/hyperlink" Target="http://reliability.mot.com/ALTV4/Reports/ALTTestReport_Functional.aspx?Test_Seqno=WH130297" TargetMode="External"/><Relationship Id="rId227" Type="http://schemas.openxmlformats.org/officeDocument/2006/relationships/hyperlink" Target="http://reliability.mot.com/ALTV4/Reports/ALTTestReport_Functional.aspx?Test_Seqno=RF129682" TargetMode="External"/><Relationship Id="rId269" Type="http://schemas.openxmlformats.org/officeDocument/2006/relationships/hyperlink" Target="http://reliability.mot.com/ALTV4/Reports/ALTTestReport_Functional.aspx?Test_Seqno=WH129168" TargetMode="External"/><Relationship Id="rId434" Type="http://schemas.openxmlformats.org/officeDocument/2006/relationships/hyperlink" Target="http://100.65.83.171/ReportServer/Pages/ReportViewer.aspx?%2fgALT_V3_Reports%2fAll+Failure+Info+Export&amp;rs:Command=Render&amp;rc:Parameters=False&amp;Test_Seqno=WH127709" TargetMode="External"/><Relationship Id="rId476" Type="http://schemas.openxmlformats.org/officeDocument/2006/relationships/hyperlink" Target="http://100.65.83.171/ReportServer/Pages/ReportViewer.aspx?%2fgALT_V3_Reports%2fAll+Failure+Info+Export&amp;rs:Command=Render&amp;rc:Parameters=False&amp;Test_Seqno=WH127682" TargetMode="External"/><Relationship Id="rId641" Type="http://schemas.openxmlformats.org/officeDocument/2006/relationships/hyperlink" Target="http://reliability.mot.com/ALTV4/Reports/ALTTestReport_Functional.aspx?Test_Seqno=WH126090" TargetMode="External"/><Relationship Id="rId683" Type="http://schemas.openxmlformats.org/officeDocument/2006/relationships/hyperlink" Target="http://reliability.mot.com/ALTV4/Reports/ALTTestReport_Functional.aspx?Test_Seqno=RF125683" TargetMode="External"/><Relationship Id="rId739" Type="http://schemas.openxmlformats.org/officeDocument/2006/relationships/hyperlink" Target="http://reliability.mot.com/ALTV4/Reports/ALTTestReport_Functional.aspx?Test_Seqno=WH125238" TargetMode="External"/><Relationship Id="rId33" Type="http://schemas.openxmlformats.org/officeDocument/2006/relationships/hyperlink" Target="http://reliability.mot.com/ALTV4/Reports/ALTTestReport_Functional.aspx?Test_Seqno=WH135403" TargetMode="External"/><Relationship Id="rId129" Type="http://schemas.openxmlformats.org/officeDocument/2006/relationships/hyperlink" Target="http://reliability.mot.com/ALTV4/Reports/ALTTestReport_Functional.aspx?Test_Seqno=WH130997" TargetMode="External"/><Relationship Id="rId280" Type="http://schemas.openxmlformats.org/officeDocument/2006/relationships/hyperlink" Target="http://100.65.83.171/ReportServer/Pages/ReportViewer.aspx?%2fgALT_V3_Reports%2fAll+Failure+Info+Export&amp;rs:Command=Render&amp;rc:Parameters=False&amp;Test_Seqno=WH128836" TargetMode="External"/><Relationship Id="rId336" Type="http://schemas.openxmlformats.org/officeDocument/2006/relationships/hyperlink" Target="http://100.65.83.171/ReportServer/Pages/ReportViewer.aspx?%2fgALT_V3_Reports%2fAll+Failure+Info+Export&amp;rs:Command=Render&amp;rc:Parameters=False&amp;Test_Seqno=WH128296" TargetMode="External"/><Relationship Id="rId501" Type="http://schemas.openxmlformats.org/officeDocument/2006/relationships/hyperlink" Target="http://reliability.mot.com/ALTV4/Reports/ALTTestReport_Functional.aspx?Test_Seqno=WH127657" TargetMode="External"/><Relationship Id="rId543" Type="http://schemas.openxmlformats.org/officeDocument/2006/relationships/hyperlink" Target="http://reliability.mot.com/ALTV4/Reports/ALTTestReport_Functional.aspx?Test_Seqno=WH127178" TargetMode="External"/><Relationship Id="rId75" Type="http://schemas.openxmlformats.org/officeDocument/2006/relationships/hyperlink" Target="http://reliability.mot.com/ALTV4/Reports/ALTTestReport_Functional.aspx?Test_Seqno=WH131868" TargetMode="External"/><Relationship Id="rId140" Type="http://schemas.openxmlformats.org/officeDocument/2006/relationships/hyperlink" Target="http://100.65.83.171/ReportServer/Pages/ReportViewer.aspx?%2fgALT_V3_Reports%2fAll+Failure+Info+Export&amp;rs:Command=Render&amp;rc:Parameters=False&amp;Test_Seqno=WH130894" TargetMode="External"/><Relationship Id="rId182" Type="http://schemas.openxmlformats.org/officeDocument/2006/relationships/hyperlink" Target="http://100.65.83.171/ReportServer/Pages/ReportViewer.aspx?%2fgALT_V3_Reports%2fAll+Failure+Info+Export&amp;rs:Command=Render&amp;rc:Parameters=False&amp;Test_Seqno=WH130215" TargetMode="External"/><Relationship Id="rId378" Type="http://schemas.openxmlformats.org/officeDocument/2006/relationships/hyperlink" Target="http://100.65.83.171/ReportServer/Pages/ReportViewer.aspx?%2fgALT_V3_Reports%2fAll+Failure+Info+Export&amp;rs:Command=Render&amp;rc:Parameters=False&amp;Test_Seqno=WH128069" TargetMode="External"/><Relationship Id="rId403" Type="http://schemas.openxmlformats.org/officeDocument/2006/relationships/hyperlink" Target="http://reliability.mot.com/ALTV4/Reports/ALTTestReport_Functional.aspx?Test_Seqno=RF127941" TargetMode="External"/><Relationship Id="rId585" Type="http://schemas.openxmlformats.org/officeDocument/2006/relationships/hyperlink" Target="http://reliability.mot.com/ALTV4/Reports/ALTTestReport_Functional.aspx?Test_Seqno=RF126854" TargetMode="External"/><Relationship Id="rId750" Type="http://schemas.openxmlformats.org/officeDocument/2006/relationships/hyperlink" Target="http://100.65.83.171/ReportServer/Pages/ReportViewer.aspx?%2fgALT_V3_Reports%2fAll+Failure+Info+Export&amp;rs:Command=Render&amp;rc:Parameters=False&amp;Test_Seqno=RF124960" TargetMode="External"/><Relationship Id="rId6" Type="http://schemas.openxmlformats.org/officeDocument/2006/relationships/hyperlink" Target="http://100.65.83.171/ReportServer/Pages/ReportViewer.aspx?%2fgALT_V3_Reports%2fAll+Failure+Info+Export&amp;rs:Command=Render&amp;rc:Parameters=False&amp;Test_Seqno=WH137413" TargetMode="External"/><Relationship Id="rId238" Type="http://schemas.openxmlformats.org/officeDocument/2006/relationships/hyperlink" Target="http://100.65.83.171/ReportServer/Pages/ReportViewer.aspx?%2fgALT_V3_Reports%2fAll+Failure+Info+Export&amp;rs:Command=Render&amp;rc:Parameters=False&amp;Test_Seqno=WH129560" TargetMode="External"/><Relationship Id="rId445" Type="http://schemas.openxmlformats.org/officeDocument/2006/relationships/hyperlink" Target="http://reliability.mot.com/ALTV4/Reports/ALTTestReport_Functional.aspx?Test_Seqno=WH127703" TargetMode="External"/><Relationship Id="rId487" Type="http://schemas.openxmlformats.org/officeDocument/2006/relationships/hyperlink" Target="http://reliability.mot.com/ALTV4/Reports/ALTTestReport_Functional.aspx?Test_Seqno=WH127667" TargetMode="External"/><Relationship Id="rId610" Type="http://schemas.openxmlformats.org/officeDocument/2006/relationships/hyperlink" Target="http://100.65.83.171/ReportServer/Pages/ReportViewer.aspx?%2fgALT_V3_Reports%2fAll+Failure+Info+Export&amp;rs:Command=Render&amp;rc:Parameters=False&amp;Test_Seqno=WH126435" TargetMode="External"/><Relationship Id="rId652" Type="http://schemas.openxmlformats.org/officeDocument/2006/relationships/hyperlink" Target="http://100.65.83.171/ReportServer/Pages/ReportViewer.aspx?%2fgALT_V3_Reports%2fAll+Failure+Info+Export&amp;rs:Command=Render&amp;rc:Parameters=False&amp;Test_Seqno=WH126085" TargetMode="External"/><Relationship Id="rId694" Type="http://schemas.openxmlformats.org/officeDocument/2006/relationships/hyperlink" Target="http://100.65.83.171/ReportServer/Pages/ReportViewer.aspx?%2fgALT_V3_Reports%2fAll+Failure+Info+Export&amp;rs:Command=Render&amp;rc:Parameters=False&amp;Test_Seqno=RF125375" TargetMode="External"/><Relationship Id="rId708" Type="http://schemas.openxmlformats.org/officeDocument/2006/relationships/hyperlink" Target="http://100.65.83.171/ReportServer/Pages/ReportViewer.aspx?%2fgALT_V3_Reports%2fAll+Failure+Info+Export&amp;rs:Command=Render&amp;rc:Parameters=False&amp;Test_Seqno=WH125255" TargetMode="External"/><Relationship Id="rId291" Type="http://schemas.openxmlformats.org/officeDocument/2006/relationships/hyperlink" Target="http://reliability.mot.com/ALTV4/Reports/ALTTestReport_Functional.aspx?Test_Seqno=WH128564" TargetMode="External"/><Relationship Id="rId305" Type="http://schemas.openxmlformats.org/officeDocument/2006/relationships/hyperlink" Target="http://reliability.mot.com/ALTV4/Reports/ALTTestReport_Functional.aspx?Test_Seqno=RF128484" TargetMode="External"/><Relationship Id="rId347" Type="http://schemas.openxmlformats.org/officeDocument/2006/relationships/hyperlink" Target="http://reliability.mot.com/ALTV4/Reports/ALTTestReport_Functional.aspx?Test_Seqno=WH128212" TargetMode="External"/><Relationship Id="rId512" Type="http://schemas.openxmlformats.org/officeDocument/2006/relationships/hyperlink" Target="http://100.65.83.171/ReportServer/Pages/ReportViewer.aspx?%2fgALT_V3_Reports%2fAll+Failure+Info+Export&amp;rs:Command=Render&amp;rc:Parameters=False&amp;Test_Seqno=WH127589" TargetMode="External"/><Relationship Id="rId44" Type="http://schemas.openxmlformats.org/officeDocument/2006/relationships/hyperlink" Target="http://100.65.83.171/ReportServer/Pages/ReportViewer.aspx?%2fgALT_V3_Reports%2fAll+Failure+Info+Export&amp;rs:Command=Render&amp;rc:Parameters=False&amp;Test_Seqno=WH133602" TargetMode="External"/><Relationship Id="rId86" Type="http://schemas.openxmlformats.org/officeDocument/2006/relationships/hyperlink" Target="http://100.65.83.171/ReportServer/Pages/ReportViewer.aspx?%2fgALT_V3_Reports%2fAll+Failure+Info+Export&amp;rs:Command=Render&amp;rc:Parameters=False&amp;Test_Seqno=WH131641" TargetMode="External"/><Relationship Id="rId151" Type="http://schemas.openxmlformats.org/officeDocument/2006/relationships/hyperlink" Target="http://reliability.mot.com/ALTV4/Reports/ALTTestReport_Functional.aspx?Test_Seqno=WH130577" TargetMode="External"/><Relationship Id="rId389" Type="http://schemas.openxmlformats.org/officeDocument/2006/relationships/hyperlink" Target="http://reliability.mot.com/ALTV4/Reports/ALTTestReport_Functional.aspx?Test_Seqno=WH127972" TargetMode="External"/><Relationship Id="rId554" Type="http://schemas.openxmlformats.org/officeDocument/2006/relationships/hyperlink" Target="http://100.65.83.171/ReportServer/Pages/ReportViewer.aspx?%2fgALT_V3_Reports%2fAll+Failure+Info+Export&amp;rs:Command=Render&amp;rc:Parameters=False&amp;Test_Seqno=WH127043" TargetMode="External"/><Relationship Id="rId596" Type="http://schemas.openxmlformats.org/officeDocument/2006/relationships/hyperlink" Target="http://100.65.83.171/ReportServer/Pages/ReportViewer.aspx?%2fgALT_V3_Reports%2fAll+Failure+Info+Export&amp;rs:Command=Render&amp;rc:Parameters=False&amp;Test_Seqno=WH126807" TargetMode="External"/><Relationship Id="rId761" Type="http://schemas.openxmlformats.org/officeDocument/2006/relationships/hyperlink" Target="http://reliability.mot.com/ALTV4/Reports/ALTTestReport_Functional.aspx?Test_Seqno=WH124712" TargetMode="External"/><Relationship Id="rId193" Type="http://schemas.openxmlformats.org/officeDocument/2006/relationships/hyperlink" Target="http://reliability.mot.com/ALTV4/Reports/ALTTestReport_Functional.aspx?Test_Seqno=WH130140" TargetMode="External"/><Relationship Id="rId207" Type="http://schemas.openxmlformats.org/officeDocument/2006/relationships/hyperlink" Target="http://reliability.mot.com/ALTV4/Reports/ALTTestReport_Functional.aspx?Test_Seqno=WH130054" TargetMode="External"/><Relationship Id="rId249" Type="http://schemas.openxmlformats.org/officeDocument/2006/relationships/hyperlink" Target="http://reliability.mot.com/ALTV4/Reports/ALTTestReport_Functional.aspx?Test_Seqno=WH129464" TargetMode="External"/><Relationship Id="rId414" Type="http://schemas.openxmlformats.org/officeDocument/2006/relationships/hyperlink" Target="http://100.65.83.171/ReportServer/Pages/ReportViewer.aspx?%2fgALT_V3_Reports%2fAll+Failure+Info+Export&amp;rs:Command=Render&amp;rc:Parameters=False&amp;Test_Seqno=WH127727" TargetMode="External"/><Relationship Id="rId456" Type="http://schemas.openxmlformats.org/officeDocument/2006/relationships/hyperlink" Target="http://100.65.83.171/ReportServer/Pages/ReportViewer.aspx?%2fgALT_V3_Reports%2fAll+Failure+Info+Export&amp;rs:Command=Render&amp;rc:Parameters=False&amp;Test_Seqno=WH127694" TargetMode="External"/><Relationship Id="rId498" Type="http://schemas.openxmlformats.org/officeDocument/2006/relationships/hyperlink" Target="http://100.65.83.171/ReportServer/Pages/ReportViewer.aspx?%2fgALT_V3_Reports%2fAll+Failure+Info+Export&amp;rs:Command=Render&amp;rc:Parameters=False&amp;Test_Seqno=WH127661" TargetMode="External"/><Relationship Id="rId621" Type="http://schemas.openxmlformats.org/officeDocument/2006/relationships/hyperlink" Target="http://reliability.mot.com/ALTV4/Reports/ALTTestReport_Functional.aspx?Test_Seqno=RF126322" TargetMode="External"/><Relationship Id="rId663" Type="http://schemas.openxmlformats.org/officeDocument/2006/relationships/hyperlink" Target="http://reliability.mot.com/ALTV4/Reports/ALTTestReport_Functional.aspx?Test_Seqno=WH126079" TargetMode="External"/><Relationship Id="rId13" Type="http://schemas.openxmlformats.org/officeDocument/2006/relationships/hyperlink" Target="http://reliability.mot.com/ALTV4/Reports/ALTTestReport_Functional.aspx?Test_Seqno=WH136982" TargetMode="External"/><Relationship Id="rId109" Type="http://schemas.openxmlformats.org/officeDocument/2006/relationships/hyperlink" Target="http://reliability.mot.com/ALTV4/Reports/ALTTestReport_Functional.aspx?Test_Seqno=WH131203" TargetMode="External"/><Relationship Id="rId260" Type="http://schemas.openxmlformats.org/officeDocument/2006/relationships/hyperlink" Target="http://100.65.83.171/ReportServer/Pages/ReportViewer.aspx?%2fgALT_V3_Reports%2fAll+Failure+Info+Export&amp;rs:Command=Render&amp;rc:Parameters=False&amp;Test_Seqno=RF129249" TargetMode="External"/><Relationship Id="rId316" Type="http://schemas.openxmlformats.org/officeDocument/2006/relationships/hyperlink" Target="http://100.65.83.171/ReportServer/Pages/ReportViewer.aspx?%2fgALT_V3_Reports%2fAll+Failure+Info+Export&amp;rs:Command=Render&amp;rc:Parameters=False&amp;Test_Seqno=WH128418" TargetMode="External"/><Relationship Id="rId523" Type="http://schemas.openxmlformats.org/officeDocument/2006/relationships/hyperlink" Target="http://reliability.mot.com/ALTV4/Reports/ALTTestReport_Functional.aspx?Test_Seqno=RF127453" TargetMode="External"/><Relationship Id="rId719" Type="http://schemas.openxmlformats.org/officeDocument/2006/relationships/hyperlink" Target="http://reliability.mot.com/ALTV4/Reports/ALTTestReport_Functional.aspx?Test_Seqno=WH125249" TargetMode="External"/><Relationship Id="rId55" Type="http://schemas.openxmlformats.org/officeDocument/2006/relationships/hyperlink" Target="http://reliability.mot.com/ALTV4/Reports/ALTTestReport_Functional.aspx?Test_Seqno=WH132822" TargetMode="External"/><Relationship Id="rId97" Type="http://schemas.openxmlformats.org/officeDocument/2006/relationships/hyperlink" Target="http://reliability.mot.com/ALTV4/Reports/ALTTestReport_Functional.aspx?Test_Seqno=WH131374" TargetMode="External"/><Relationship Id="rId120" Type="http://schemas.openxmlformats.org/officeDocument/2006/relationships/hyperlink" Target="http://100.65.83.171/ReportServer/Pages/ReportViewer.aspx?%2fgALT_V3_Reports%2fAll+Failure+Info+Export&amp;rs:Command=Render&amp;rc:Parameters=False&amp;Test_Seqno=WH131068" TargetMode="External"/><Relationship Id="rId358" Type="http://schemas.openxmlformats.org/officeDocument/2006/relationships/hyperlink" Target="http://100.65.83.171/ReportServer/Pages/ReportViewer.aspx?%2fgALT_V3_Reports%2fAll+Failure+Info+Export&amp;rs:Command=Render&amp;rc:Parameters=False&amp;Test_Seqno=WH128110" TargetMode="External"/><Relationship Id="rId565" Type="http://schemas.openxmlformats.org/officeDocument/2006/relationships/hyperlink" Target="http://reliability.mot.com/ALTV4/Reports/ALTTestReport_Functional.aspx?Test_Seqno=WH127037" TargetMode="External"/><Relationship Id="rId730" Type="http://schemas.openxmlformats.org/officeDocument/2006/relationships/hyperlink" Target="http://100.65.83.171/ReportServer/Pages/ReportViewer.aspx?%2fgALT_V3_Reports%2fAll+Failure+Info+Export&amp;rs:Command=Render&amp;rc:Parameters=False&amp;Test_Seqno=WH125243" TargetMode="External"/><Relationship Id="rId162" Type="http://schemas.openxmlformats.org/officeDocument/2006/relationships/hyperlink" Target="http://100.65.83.171/ReportServer/Pages/ReportViewer.aspx?%2fgALT_V3_Reports%2fAll+Failure+Info+Export&amp;rs:Command=Render&amp;rc:Parameters=False&amp;Test_Seqno=WH130358" TargetMode="External"/><Relationship Id="rId218" Type="http://schemas.openxmlformats.org/officeDocument/2006/relationships/hyperlink" Target="http://100.65.83.171/ReportServer/Pages/ReportViewer.aspx?%2fgALT_V3_Reports%2fAll+Failure+Info+Export&amp;rs:Command=Render&amp;rc:Parameters=False&amp;Test_Seqno=WH129749" TargetMode="External"/><Relationship Id="rId425" Type="http://schemas.openxmlformats.org/officeDocument/2006/relationships/hyperlink" Target="http://reliability.mot.com/ALTV4/Reports/ALTTestReport_Functional.aspx?Test_Seqno=WH127713" TargetMode="External"/><Relationship Id="rId467" Type="http://schemas.openxmlformats.org/officeDocument/2006/relationships/hyperlink" Target="http://reliability.mot.com/ALTV4/Reports/ALTTestReport_Functional.aspx?Test_Seqno=WH127687" TargetMode="External"/><Relationship Id="rId632" Type="http://schemas.openxmlformats.org/officeDocument/2006/relationships/hyperlink" Target="http://100.65.83.171/ReportServer/Pages/ReportViewer.aspx?%2fgALT_V3_Reports%2fAll+Failure+Info+Export&amp;rs:Command=Render&amp;rc:Parameters=False&amp;Test_Seqno=WH126095" TargetMode="External"/><Relationship Id="rId271" Type="http://schemas.openxmlformats.org/officeDocument/2006/relationships/hyperlink" Target="http://reliability.mot.com/ALTV4/Reports/ALTTestReport_Functional.aspx?Test_Seqno=WH129159" TargetMode="External"/><Relationship Id="rId674" Type="http://schemas.openxmlformats.org/officeDocument/2006/relationships/hyperlink" Target="http://100.65.83.171/ReportServer/Pages/ReportViewer.aspx?%2fgALT_V3_Reports%2fAll+Failure+Info+Export&amp;rs:Command=Render&amp;rc:Parameters=False&amp;Test_Seqno=RF125903" TargetMode="External"/><Relationship Id="rId24" Type="http://schemas.openxmlformats.org/officeDocument/2006/relationships/hyperlink" Target="http://100.65.83.171/ReportServer/Pages/ReportViewer.aspx?%2fgALT_V3_Reports%2fAll+Failure+Info+Export&amp;rs:Command=Render&amp;rc:Parameters=False&amp;Test_Seqno=WH136083" TargetMode="External"/><Relationship Id="rId66" Type="http://schemas.openxmlformats.org/officeDocument/2006/relationships/hyperlink" Target="http://100.65.83.171/ReportServer/Pages/ReportViewer.aspx?%2fgALT_V3_Reports%2fAll+Failure+Info+Export&amp;rs:Command=Render&amp;rc:Parameters=False&amp;Test_Seqno=WH132077" TargetMode="External"/><Relationship Id="rId131" Type="http://schemas.openxmlformats.org/officeDocument/2006/relationships/hyperlink" Target="http://reliability.mot.com/ALTV4/Reports/ALTTestReport_Functional.aspx?Test_Seqno=WH130954" TargetMode="External"/><Relationship Id="rId327" Type="http://schemas.openxmlformats.org/officeDocument/2006/relationships/hyperlink" Target="http://reliability.mot.com/ALTV4/Reports/ALTTestReport_Functional.aspx?Test_Seqno=WH128300" TargetMode="External"/><Relationship Id="rId369" Type="http://schemas.openxmlformats.org/officeDocument/2006/relationships/hyperlink" Target="http://reliability.mot.com/ALTV4/Reports/ALTTestReport_Functional.aspx?Test_Seqno=WH128073" TargetMode="External"/><Relationship Id="rId534" Type="http://schemas.openxmlformats.org/officeDocument/2006/relationships/hyperlink" Target="http://100.65.83.171/ReportServer/Pages/ReportViewer.aspx?%2fgALT_V3_Reports%2fAll+Failure+Info+Export&amp;rs:Command=Render&amp;rc:Parameters=False&amp;Test_Seqno=RF127283" TargetMode="External"/><Relationship Id="rId576" Type="http://schemas.openxmlformats.org/officeDocument/2006/relationships/hyperlink" Target="http://100.65.83.171/ReportServer/Pages/ReportViewer.aspx?%2fgALT_V3_Reports%2fAll+Failure+Info+Export&amp;rs:Command=Render&amp;rc:Parameters=False&amp;Test_Seqno=RF126918" TargetMode="External"/><Relationship Id="rId741" Type="http://schemas.openxmlformats.org/officeDocument/2006/relationships/hyperlink" Target="http://reliability.mot.com/ALTV4/Reports/ALTTestReport_Functional.aspx?Test_Seqno=WH125237" TargetMode="External"/><Relationship Id="rId173" Type="http://schemas.openxmlformats.org/officeDocument/2006/relationships/hyperlink" Target="http://reliability.mot.com/ALTV4/Reports/ALTTestReport_Functional.aspx?Test_Seqno=WH130291" TargetMode="External"/><Relationship Id="rId229" Type="http://schemas.openxmlformats.org/officeDocument/2006/relationships/hyperlink" Target="http://reliability.mot.com/ALTV4/Reports/ALTTestReport_Functional.aspx?Test_Seqno=WH129679" TargetMode="External"/><Relationship Id="rId380" Type="http://schemas.openxmlformats.org/officeDocument/2006/relationships/hyperlink" Target="http://100.65.83.171/ReportServer/Pages/ReportViewer.aspx?%2fgALT_V3_Reports%2fAll+Failure+Info+Export&amp;rs:Command=Render&amp;rc:Parameters=False&amp;Test_Seqno=WH127998" TargetMode="External"/><Relationship Id="rId436" Type="http://schemas.openxmlformats.org/officeDocument/2006/relationships/hyperlink" Target="http://100.65.83.171/ReportServer/Pages/ReportViewer.aspx?%2fgALT_V3_Reports%2fAll+Failure+Info+Export&amp;rs:Command=Render&amp;rc:Parameters=False&amp;Test_Seqno=WH127708" TargetMode="External"/><Relationship Id="rId601" Type="http://schemas.openxmlformats.org/officeDocument/2006/relationships/hyperlink" Target="http://reliability.mot.com/ALTV4/Reports/ALTTestReport_Functional.aspx?Test_Seqno=RF126613" TargetMode="External"/><Relationship Id="rId643" Type="http://schemas.openxmlformats.org/officeDocument/2006/relationships/hyperlink" Target="http://reliability.mot.com/ALTV4/Reports/ALTTestReport_Functional.aspx?Test_Seqno=WH126089" TargetMode="External"/><Relationship Id="rId240" Type="http://schemas.openxmlformats.org/officeDocument/2006/relationships/hyperlink" Target="http://100.65.83.171/ReportServer/Pages/ReportViewer.aspx?%2fgALT_V3_Reports%2fAll+Failure+Info+Export&amp;rs:Command=Render&amp;rc:Parameters=False&amp;Test_Seqno=RF129514" TargetMode="External"/><Relationship Id="rId478" Type="http://schemas.openxmlformats.org/officeDocument/2006/relationships/hyperlink" Target="http://100.65.83.171/ReportServer/Pages/ReportViewer.aspx?%2fgALT_V3_Reports%2fAll+Failure+Info+Export&amp;rs:Command=Render&amp;rc:Parameters=False&amp;Test_Seqno=WH127678" TargetMode="External"/><Relationship Id="rId685" Type="http://schemas.openxmlformats.org/officeDocument/2006/relationships/hyperlink" Target="http://reliability.mot.com/ALTV4/Reports/ALTTestReport_Functional.aspx?Test_Seqno=WH125607" TargetMode="External"/><Relationship Id="rId35" Type="http://schemas.openxmlformats.org/officeDocument/2006/relationships/hyperlink" Target="http://reliability.mot.com/ALTV4/Reports/ALTTestReport_Functional.aspx?Test_Seqno=RF135274" TargetMode="External"/><Relationship Id="rId77" Type="http://schemas.openxmlformats.org/officeDocument/2006/relationships/hyperlink" Target="http://reliability.mot.com/ALTV4/Reports/ALTTestReport_Functional.aspx?Test_Seqno=WH131867" TargetMode="External"/><Relationship Id="rId100" Type="http://schemas.openxmlformats.org/officeDocument/2006/relationships/hyperlink" Target="http://100.65.83.171/ReportServer/Pages/ReportViewer.aspx?%2fgALT_V3_Reports%2fAll+Failure+Info+Export&amp;rs:Command=Render&amp;rc:Parameters=False&amp;Test_Seqno=WH131373" TargetMode="External"/><Relationship Id="rId282" Type="http://schemas.openxmlformats.org/officeDocument/2006/relationships/hyperlink" Target="http://100.65.83.171/ReportServer/Pages/ReportViewer.aspx?%2fgALT_V3_Reports%2fAll+Failure+Info+Export&amp;rs:Command=Render&amp;rc:Parameters=False&amp;Test_Seqno=WH128803" TargetMode="External"/><Relationship Id="rId338" Type="http://schemas.openxmlformats.org/officeDocument/2006/relationships/hyperlink" Target="http://100.65.83.171/ReportServer/Pages/ReportViewer.aspx?%2fgALT_V3_Reports%2fAll+Failure+Info+Export&amp;rs:Command=Render&amp;rc:Parameters=False&amp;Test_Seqno=WH128295" TargetMode="External"/><Relationship Id="rId503" Type="http://schemas.openxmlformats.org/officeDocument/2006/relationships/hyperlink" Target="http://reliability.mot.com/ALTV4/Reports/ALTTestReport_Functional.aspx?Test_Seqno=WH127616" TargetMode="External"/><Relationship Id="rId545" Type="http://schemas.openxmlformats.org/officeDocument/2006/relationships/hyperlink" Target="http://reliability.mot.com/ALTV4/Reports/ALTTestReport_Functional.aspx?Test_Seqno=WH127139" TargetMode="External"/><Relationship Id="rId587" Type="http://schemas.openxmlformats.org/officeDocument/2006/relationships/hyperlink" Target="http://reliability.mot.com/ALTV4/Reports/ALTTestReport_Functional.aspx?Test_Seqno=RF126833" TargetMode="External"/><Relationship Id="rId710" Type="http://schemas.openxmlformats.org/officeDocument/2006/relationships/hyperlink" Target="http://100.65.83.171/ReportServer/Pages/ReportViewer.aspx?%2fgALT_V3_Reports%2fAll+Failure+Info+Export&amp;rs:Command=Render&amp;rc:Parameters=False&amp;Test_Seqno=WH125254" TargetMode="External"/><Relationship Id="rId752" Type="http://schemas.openxmlformats.org/officeDocument/2006/relationships/hyperlink" Target="http://100.65.83.171/ReportServer/Pages/ReportViewer.aspx?%2fgALT_V3_Reports%2fAll+Failure+Info+Export&amp;rs:Command=Render&amp;rc:Parameters=False&amp;Test_Seqno=RF124872" TargetMode="External"/><Relationship Id="rId8" Type="http://schemas.openxmlformats.org/officeDocument/2006/relationships/hyperlink" Target="http://100.65.83.171/ReportServer/Pages/ReportViewer.aspx?%2fgALT_V3_Reports%2fAll+Failure+Info+Export&amp;rs:Command=Render&amp;rc:Parameters=False&amp;Test_Seqno=WH137128" TargetMode="External"/><Relationship Id="rId142" Type="http://schemas.openxmlformats.org/officeDocument/2006/relationships/hyperlink" Target="http://100.65.83.171/ReportServer/Pages/ReportViewer.aspx?%2fgALT_V3_Reports%2fAll+Failure+Info+Export&amp;rs:Command=Render&amp;rc:Parameters=False&amp;Test_Seqno=WH130893" TargetMode="External"/><Relationship Id="rId184" Type="http://schemas.openxmlformats.org/officeDocument/2006/relationships/hyperlink" Target="http://100.65.83.171/ReportServer/Pages/ReportViewer.aspx?%2fgALT_V3_Reports%2fAll+Failure+Info+Export&amp;rs:Command=Render&amp;rc:Parameters=False&amp;Test_Seqno=WH130213" TargetMode="External"/><Relationship Id="rId391" Type="http://schemas.openxmlformats.org/officeDocument/2006/relationships/hyperlink" Target="http://reliability.mot.com/ALTV4/Reports/ALTTestReport_Functional.aspx?Test_Seqno=WH127971" TargetMode="External"/><Relationship Id="rId405" Type="http://schemas.openxmlformats.org/officeDocument/2006/relationships/hyperlink" Target="http://reliability.mot.com/ALTV4/Reports/ALTTestReport_Functional.aspx?Test_Seqno=RF127854" TargetMode="External"/><Relationship Id="rId447" Type="http://schemas.openxmlformats.org/officeDocument/2006/relationships/hyperlink" Target="http://reliability.mot.com/ALTV4/Reports/ALTTestReport_Functional.aspx?Test_Seqno=WH127702" TargetMode="External"/><Relationship Id="rId612" Type="http://schemas.openxmlformats.org/officeDocument/2006/relationships/hyperlink" Target="http://100.65.83.171/ReportServer/Pages/ReportViewer.aspx?%2fgALT_V3_Reports%2fAll+Failure+Info+Export&amp;rs:Command=Render&amp;rc:Parameters=False&amp;Test_Seqno=RF126401" TargetMode="External"/><Relationship Id="rId251" Type="http://schemas.openxmlformats.org/officeDocument/2006/relationships/hyperlink" Target="http://reliability.mot.com/ALTV4/Reports/ALTTestReport_Functional.aspx?Test_Seqno=WH129403" TargetMode="External"/><Relationship Id="rId489" Type="http://schemas.openxmlformats.org/officeDocument/2006/relationships/hyperlink" Target="http://reliability.mot.com/ALTV4/Reports/ALTTestReport_Functional.aspx?Test_Seqno=WH127666" TargetMode="External"/><Relationship Id="rId654" Type="http://schemas.openxmlformats.org/officeDocument/2006/relationships/hyperlink" Target="http://100.65.83.171/ReportServer/Pages/ReportViewer.aspx?%2fgALT_V3_Reports%2fAll+Failure+Info+Export&amp;rs:Command=Render&amp;rc:Parameters=False&amp;Test_Seqno=WH126084" TargetMode="External"/><Relationship Id="rId696" Type="http://schemas.openxmlformats.org/officeDocument/2006/relationships/hyperlink" Target="http://100.65.83.171/ReportServer/Pages/ReportViewer.aspx?%2fgALT_V3_Reports%2fAll+Failure+Info+Export&amp;rs:Command=Render&amp;rc:Parameters=False&amp;Test_Seqno=RF125374" TargetMode="External"/><Relationship Id="rId46" Type="http://schemas.openxmlformats.org/officeDocument/2006/relationships/hyperlink" Target="http://100.65.83.171/ReportServer/Pages/ReportViewer.aspx?%2fgALT_V3_Reports%2fAll+Failure+Info+Export&amp;rs:Command=Render&amp;rc:Parameters=False&amp;Test_Seqno=WH133600" TargetMode="External"/><Relationship Id="rId293" Type="http://schemas.openxmlformats.org/officeDocument/2006/relationships/hyperlink" Target="http://reliability.mot.com/ALTV4/Reports/ALTTestReport_Functional.aspx?Test_Seqno=WH128510" TargetMode="External"/><Relationship Id="rId307" Type="http://schemas.openxmlformats.org/officeDocument/2006/relationships/hyperlink" Target="http://reliability.mot.com/ALTV4/Reports/ALTTestReport_Functional.aspx?Test_Seqno=RF128453" TargetMode="External"/><Relationship Id="rId349" Type="http://schemas.openxmlformats.org/officeDocument/2006/relationships/hyperlink" Target="http://reliability.mot.com/ALTV4/Reports/ALTTestReport_Functional.aspx?Test_Seqno=WH128210" TargetMode="External"/><Relationship Id="rId514" Type="http://schemas.openxmlformats.org/officeDocument/2006/relationships/hyperlink" Target="http://100.65.83.171/ReportServer/Pages/ReportViewer.aspx?%2fgALT_V3_Reports%2fAll+Failure+Info+Export&amp;rs:Command=Render&amp;rc:Parameters=False&amp;Test_Seqno=WH127588" TargetMode="External"/><Relationship Id="rId556" Type="http://schemas.openxmlformats.org/officeDocument/2006/relationships/hyperlink" Target="http://100.65.83.171/ReportServer/Pages/ReportViewer.aspx?%2fgALT_V3_Reports%2fAll+Failure+Info+Export&amp;rs:Command=Render&amp;rc:Parameters=False&amp;Test_Seqno=WH127042" TargetMode="External"/><Relationship Id="rId721" Type="http://schemas.openxmlformats.org/officeDocument/2006/relationships/hyperlink" Target="http://reliability.mot.com/ALTV4/Reports/ALTTestReport_Functional.aspx?Test_Seqno=WH125248" TargetMode="External"/><Relationship Id="rId763" Type="http://schemas.openxmlformats.org/officeDocument/2006/relationships/hyperlink" Target="http://reliability.mot.com/ALTV4/Reports/ALTTestReport_Functional.aspx?Test_Seqno=WH124086" TargetMode="External"/><Relationship Id="rId88" Type="http://schemas.openxmlformats.org/officeDocument/2006/relationships/hyperlink" Target="http://100.65.83.171/ReportServer/Pages/ReportViewer.aspx?%2fgALT_V3_Reports%2fAll+Failure+Info+Export&amp;rs:Command=Render&amp;rc:Parameters=False&amp;Test_Seqno=WH131578" TargetMode="External"/><Relationship Id="rId111" Type="http://schemas.openxmlformats.org/officeDocument/2006/relationships/hyperlink" Target="http://reliability.mot.com/ALTV4/Reports/ALTTestReport_Functional.aspx?Test_Seqno=WH131092" TargetMode="External"/><Relationship Id="rId153" Type="http://schemas.openxmlformats.org/officeDocument/2006/relationships/hyperlink" Target="http://reliability.mot.com/ALTV4/Reports/ALTTestReport_Functional.aspx?Test_Seqno=WH130538" TargetMode="External"/><Relationship Id="rId195" Type="http://schemas.openxmlformats.org/officeDocument/2006/relationships/hyperlink" Target="http://reliability.mot.com/ALTV4/Reports/ALTTestReport_Functional.aspx?Test_Seqno=WH130138" TargetMode="External"/><Relationship Id="rId209" Type="http://schemas.openxmlformats.org/officeDocument/2006/relationships/hyperlink" Target="http://reliability.mot.com/ALTV4/Reports/ALTTestReport_Functional.aspx?Test_Seqno=RF129982" TargetMode="External"/><Relationship Id="rId360" Type="http://schemas.openxmlformats.org/officeDocument/2006/relationships/hyperlink" Target="http://100.65.83.171/ReportServer/Pages/ReportViewer.aspx?%2fgALT_V3_Reports%2fAll+Failure+Info+Export&amp;rs:Command=Render&amp;rc:Parameters=False&amp;Test_Seqno=WH128086" TargetMode="External"/><Relationship Id="rId416" Type="http://schemas.openxmlformats.org/officeDocument/2006/relationships/hyperlink" Target="http://100.65.83.171/ReportServer/Pages/ReportViewer.aspx?%2fgALT_V3_Reports%2fAll+Failure+Info+Export&amp;rs:Command=Render&amp;rc:Parameters=False&amp;Test_Seqno=WH127726" TargetMode="External"/><Relationship Id="rId598" Type="http://schemas.openxmlformats.org/officeDocument/2006/relationships/hyperlink" Target="http://100.65.83.171/ReportServer/Pages/ReportViewer.aspx?%2fgALT_V3_Reports%2fAll+Failure+Info+Export&amp;rs:Command=Render&amp;rc:Parameters=False&amp;Test_Seqno=RF126682" TargetMode="External"/><Relationship Id="rId220" Type="http://schemas.openxmlformats.org/officeDocument/2006/relationships/hyperlink" Target="http://100.65.83.171/ReportServer/Pages/ReportViewer.aspx?%2fgALT_V3_Reports%2fAll+Failure+Info+Export&amp;rs:Command=Render&amp;rc:Parameters=False&amp;Test_Seqno=WH129744" TargetMode="External"/><Relationship Id="rId458" Type="http://schemas.openxmlformats.org/officeDocument/2006/relationships/hyperlink" Target="http://100.65.83.171/ReportServer/Pages/ReportViewer.aspx?%2fgALT_V3_Reports%2fAll+Failure+Info+Export&amp;rs:Command=Render&amp;rc:Parameters=False&amp;Test_Seqno=WH127693" TargetMode="External"/><Relationship Id="rId623" Type="http://schemas.openxmlformats.org/officeDocument/2006/relationships/hyperlink" Target="http://reliability.mot.com/ALTV4/Reports/ALTTestReport_Functional.aspx?Test_Seqno=WH126266" TargetMode="External"/><Relationship Id="rId665" Type="http://schemas.openxmlformats.org/officeDocument/2006/relationships/hyperlink" Target="http://reliability.mot.com/ALTV4/Reports/ALTTestReport_Functional.aspx?Test_Seqno=RF126078" TargetMode="External"/><Relationship Id="rId15" Type="http://schemas.openxmlformats.org/officeDocument/2006/relationships/hyperlink" Target="http://reliability.mot.com/ALTV4/Reports/ALTTestReport_Functional.aspx?Test_Seqno=WH136782" TargetMode="External"/><Relationship Id="rId57" Type="http://schemas.openxmlformats.org/officeDocument/2006/relationships/hyperlink" Target="http://reliability.mot.com/ALTV4/Reports/ALTTestReport_Functional.aspx?Test_Seqno=RF132504" TargetMode="External"/><Relationship Id="rId262" Type="http://schemas.openxmlformats.org/officeDocument/2006/relationships/hyperlink" Target="http://100.65.83.171/ReportServer/Pages/ReportViewer.aspx?%2fgALT_V3_Reports%2fAll+Failure+Info+Export&amp;rs:Command=Render&amp;rc:Parameters=False&amp;Test_Seqno=WH129217" TargetMode="External"/><Relationship Id="rId318" Type="http://schemas.openxmlformats.org/officeDocument/2006/relationships/hyperlink" Target="http://100.65.83.171/ReportServer/Pages/ReportViewer.aspx?%2fgALT_V3_Reports%2fAll+Failure+Info+Export&amp;rs:Command=Render&amp;rc:Parameters=False&amp;Test_Seqno=WH128416" TargetMode="External"/><Relationship Id="rId525" Type="http://schemas.openxmlformats.org/officeDocument/2006/relationships/hyperlink" Target="http://reliability.mot.com/ALTV4/Reports/ALTTestReport_Functional.aspx?Test_Seqno=RF127452" TargetMode="External"/><Relationship Id="rId567" Type="http://schemas.openxmlformats.org/officeDocument/2006/relationships/hyperlink" Target="http://reliability.mot.com/ALTV4/Reports/ALTTestReport_Functional.aspx?Test_Seqno=WH127036" TargetMode="External"/><Relationship Id="rId732" Type="http://schemas.openxmlformats.org/officeDocument/2006/relationships/hyperlink" Target="http://100.65.83.171/ReportServer/Pages/ReportViewer.aspx?%2fgALT_V3_Reports%2fAll+Failure+Info+Export&amp;rs:Command=Render&amp;rc:Parameters=False&amp;Test_Seqno=WH125242" TargetMode="External"/><Relationship Id="rId99" Type="http://schemas.openxmlformats.org/officeDocument/2006/relationships/hyperlink" Target="http://reliability.mot.com/ALTV4/Reports/ALTTestReport_Functional.aspx?Test_Seqno=WH131373" TargetMode="External"/><Relationship Id="rId122" Type="http://schemas.openxmlformats.org/officeDocument/2006/relationships/hyperlink" Target="http://100.65.83.171/ReportServer/Pages/ReportViewer.aspx?%2fgALT_V3_Reports%2fAll+Failure+Info+Export&amp;rs:Command=Render&amp;rc:Parameters=False&amp;Test_Seqno=WH131067" TargetMode="External"/><Relationship Id="rId164" Type="http://schemas.openxmlformats.org/officeDocument/2006/relationships/hyperlink" Target="http://100.65.83.171/ReportServer/Pages/ReportViewer.aspx?%2fgALT_V3_Reports%2fAll+Failure+Info+Export&amp;rs:Command=Render&amp;rc:Parameters=False&amp;Test_Seqno=WH130357" TargetMode="External"/><Relationship Id="rId371" Type="http://schemas.openxmlformats.org/officeDocument/2006/relationships/hyperlink" Target="http://reliability.mot.com/ALTV4/Reports/ALTTestReport_Functional.aspx?Test_Seqno=WH128072" TargetMode="External"/><Relationship Id="rId427" Type="http://schemas.openxmlformats.org/officeDocument/2006/relationships/hyperlink" Target="http://reliability.mot.com/ALTV4/Reports/ALTTestReport_Functional.aspx?Test_Seqno=WH127712" TargetMode="External"/><Relationship Id="rId469" Type="http://schemas.openxmlformats.org/officeDocument/2006/relationships/hyperlink" Target="http://reliability.mot.com/ALTV4/Reports/ALTTestReport_Functional.aspx?Test_Seqno=WH127686" TargetMode="External"/><Relationship Id="rId634" Type="http://schemas.openxmlformats.org/officeDocument/2006/relationships/hyperlink" Target="http://100.65.83.171/ReportServer/Pages/ReportViewer.aspx?%2fgALT_V3_Reports%2fAll+Failure+Info+Export&amp;rs:Command=Render&amp;rc:Parameters=False&amp;Test_Seqno=WH126094" TargetMode="External"/><Relationship Id="rId676" Type="http://schemas.openxmlformats.org/officeDocument/2006/relationships/hyperlink" Target="http://100.65.83.171/ReportServer/Pages/ReportViewer.aspx?%2fgALT_V3_Reports%2fAll+Failure+Info+Export&amp;rs:Command=Render&amp;rc:Parameters=False&amp;Test_Seqno=WH125897" TargetMode="External"/><Relationship Id="rId26" Type="http://schemas.openxmlformats.org/officeDocument/2006/relationships/hyperlink" Target="http://100.65.83.171/ReportServer/Pages/ReportViewer.aspx?%2fgALT_V3_Reports%2fAll+Failure+Info+Export&amp;rs:Command=Render&amp;rc:Parameters=False&amp;Test_Seqno=RF136006" TargetMode="External"/><Relationship Id="rId231" Type="http://schemas.openxmlformats.org/officeDocument/2006/relationships/hyperlink" Target="http://reliability.mot.com/ALTV4/Reports/ALTTestReport_Functional.aspx?Test_Seqno=WH129641" TargetMode="External"/><Relationship Id="rId273" Type="http://schemas.openxmlformats.org/officeDocument/2006/relationships/hyperlink" Target="http://reliability.mot.com/ALTV4/Reports/ALTTestReport_Functional.aspx?Test_Seqno=WH129158" TargetMode="External"/><Relationship Id="rId329" Type="http://schemas.openxmlformats.org/officeDocument/2006/relationships/hyperlink" Target="http://reliability.mot.com/ALTV4/Reports/ALTTestReport_Functional.aspx?Test_Seqno=WH128299" TargetMode="External"/><Relationship Id="rId480" Type="http://schemas.openxmlformats.org/officeDocument/2006/relationships/hyperlink" Target="http://100.65.83.171/ReportServer/Pages/ReportViewer.aspx?%2fgALT_V3_Reports%2fAll+Failure+Info+Export&amp;rs:Command=Render&amp;rc:Parameters=False&amp;Test_Seqno=WH127677" TargetMode="External"/><Relationship Id="rId536" Type="http://schemas.openxmlformats.org/officeDocument/2006/relationships/hyperlink" Target="http://100.65.83.171/ReportServer/Pages/ReportViewer.aspx?%2fgALT_V3_Reports%2fAll+Failure+Info+Export&amp;rs:Command=Render&amp;rc:Parameters=False&amp;Test_Seqno=RF127282" TargetMode="External"/><Relationship Id="rId701" Type="http://schemas.openxmlformats.org/officeDocument/2006/relationships/hyperlink" Target="http://reliability.mot.com/ALTV4/Reports/ALTTestReport_Functional.aspx?Test_Seqno=WH125339" TargetMode="External"/><Relationship Id="rId68" Type="http://schemas.openxmlformats.org/officeDocument/2006/relationships/hyperlink" Target="http://100.65.83.171/ReportServer/Pages/ReportViewer.aspx?%2fgALT_V3_Reports%2fAll+Failure+Info+Export&amp;rs:Command=Render&amp;rc:Parameters=False&amp;Test_Seqno=WH132008" TargetMode="External"/><Relationship Id="rId133" Type="http://schemas.openxmlformats.org/officeDocument/2006/relationships/hyperlink" Target="http://reliability.mot.com/ALTV4/Reports/ALTTestReport_Functional.aspx?Test_Seqno=WH130953" TargetMode="External"/><Relationship Id="rId175" Type="http://schemas.openxmlformats.org/officeDocument/2006/relationships/hyperlink" Target="http://reliability.mot.com/ALTV4/Reports/ALTTestReport_Functional.aspx?Test_Seqno=WH130265" TargetMode="External"/><Relationship Id="rId340" Type="http://schemas.openxmlformats.org/officeDocument/2006/relationships/hyperlink" Target="http://100.65.83.171/ReportServer/Pages/ReportViewer.aspx?%2fgALT_V3_Reports%2fAll+Failure+Info+Export&amp;rs:Command=Render&amp;rc:Parameters=False&amp;Test_Seqno=WH128294" TargetMode="External"/><Relationship Id="rId578" Type="http://schemas.openxmlformats.org/officeDocument/2006/relationships/hyperlink" Target="http://100.65.83.171/ReportServer/Pages/ReportViewer.aspx?%2fgALT_V3_Reports%2fAll+Failure+Info+Export&amp;rs:Command=Render&amp;rc:Parameters=False&amp;Test_Seqno=WH126873" TargetMode="External"/><Relationship Id="rId743" Type="http://schemas.openxmlformats.org/officeDocument/2006/relationships/hyperlink" Target="http://reliability.mot.com/ALTV4/Reports/ALTTestReport_Functional.aspx?Test_Seqno=RF125236" TargetMode="External"/><Relationship Id="rId200" Type="http://schemas.openxmlformats.org/officeDocument/2006/relationships/hyperlink" Target="http://100.65.83.171/ReportServer/Pages/ReportViewer.aspx?%2fgALT_V3_Reports%2fAll+Failure+Info+Export&amp;rs:Command=Render&amp;rc:Parameters=False&amp;Test_Seqno=WH130136" TargetMode="External"/><Relationship Id="rId382" Type="http://schemas.openxmlformats.org/officeDocument/2006/relationships/hyperlink" Target="http://100.65.83.171/ReportServer/Pages/ReportViewer.aspx?%2fgALT_V3_Reports%2fAll+Failure+Info+Export&amp;rs:Command=Render&amp;rc:Parameters=False&amp;Test_Seqno=WH127996" TargetMode="External"/><Relationship Id="rId438" Type="http://schemas.openxmlformats.org/officeDocument/2006/relationships/hyperlink" Target="http://100.65.83.171/ReportServer/Pages/ReportViewer.aspx?%2fgALT_V3_Reports%2fAll+Failure+Info+Export&amp;rs:Command=Render&amp;rc:Parameters=False&amp;Test_Seqno=WH127707" TargetMode="External"/><Relationship Id="rId603" Type="http://schemas.openxmlformats.org/officeDocument/2006/relationships/hyperlink" Target="http://reliability.mot.com/ALTV4/Reports/ALTTestReport_Functional.aspx?Test_Seqno=WH126552" TargetMode="External"/><Relationship Id="rId645" Type="http://schemas.openxmlformats.org/officeDocument/2006/relationships/hyperlink" Target="http://reliability.mot.com/ALTV4/Reports/ALTTestReport_Functional.aspx?Test_Seqno=WH126088" TargetMode="External"/><Relationship Id="rId687" Type="http://schemas.openxmlformats.org/officeDocument/2006/relationships/hyperlink" Target="http://reliability.mot.com/ALTV4/Reports/ALTTestReport_Functional.aspx?Test_Seqno=WH125466" TargetMode="External"/><Relationship Id="rId242" Type="http://schemas.openxmlformats.org/officeDocument/2006/relationships/hyperlink" Target="http://100.65.83.171/ReportServer/Pages/ReportViewer.aspx?%2fgALT_V3_Reports%2fAll+Failure+Info+Export&amp;rs:Command=Render&amp;rc:Parameters=False&amp;Test_Seqno=WH129487" TargetMode="External"/><Relationship Id="rId284" Type="http://schemas.openxmlformats.org/officeDocument/2006/relationships/hyperlink" Target="http://100.65.83.171/ReportServer/Pages/ReportViewer.aspx?%2fgALT_V3_Reports%2fAll+Failure+Info+Export&amp;rs:Command=Render&amp;rc:Parameters=False&amp;Test_Seqno=WH128741" TargetMode="External"/><Relationship Id="rId491" Type="http://schemas.openxmlformats.org/officeDocument/2006/relationships/hyperlink" Target="http://reliability.mot.com/ALTV4/Reports/ALTTestReport_Functional.aspx?Test_Seqno=WH127664" TargetMode="External"/><Relationship Id="rId505" Type="http://schemas.openxmlformats.org/officeDocument/2006/relationships/hyperlink" Target="http://reliability.mot.com/ALTV4/Reports/ALTTestReport_Functional.aspx?Test_Seqno=WH127610" TargetMode="External"/><Relationship Id="rId712" Type="http://schemas.openxmlformats.org/officeDocument/2006/relationships/hyperlink" Target="http://100.65.83.171/ReportServer/Pages/ReportViewer.aspx?%2fgALT_V3_Reports%2fAll+Failure+Info+Export&amp;rs:Command=Render&amp;rc:Parameters=False&amp;Test_Seqno=WH125253" TargetMode="External"/><Relationship Id="rId37" Type="http://schemas.openxmlformats.org/officeDocument/2006/relationships/hyperlink" Target="http://reliability.mot.com/ALTV4/Reports/ALTTestReport_Functional.aspx?Test_Seqno=WH133765" TargetMode="External"/><Relationship Id="rId79" Type="http://schemas.openxmlformats.org/officeDocument/2006/relationships/hyperlink" Target="http://reliability.mot.com/ALTV4/Reports/ALTTestReport_Functional.aspx?Test_Seqno=WH131772" TargetMode="External"/><Relationship Id="rId102" Type="http://schemas.openxmlformats.org/officeDocument/2006/relationships/hyperlink" Target="http://100.65.83.171/ReportServer/Pages/ReportViewer.aspx?%2fgALT_V3_Reports%2fAll+Failure+Info+Export&amp;rs:Command=Render&amp;rc:Parameters=False&amp;Test_Seqno=WH131342" TargetMode="External"/><Relationship Id="rId144" Type="http://schemas.openxmlformats.org/officeDocument/2006/relationships/hyperlink" Target="http://100.65.83.171/ReportServer/Pages/ReportViewer.aspx?%2fgALT_V3_Reports%2fAll+Failure+Info+Export&amp;rs:Command=Render&amp;rc:Parameters=False&amp;Test_Seqno=WH130803" TargetMode="External"/><Relationship Id="rId547" Type="http://schemas.openxmlformats.org/officeDocument/2006/relationships/hyperlink" Target="http://reliability.mot.com/ALTV4/Reports/ALTTestReport_Functional.aspx?Test_Seqno=RF127138" TargetMode="External"/><Relationship Id="rId589" Type="http://schemas.openxmlformats.org/officeDocument/2006/relationships/hyperlink" Target="http://reliability.mot.com/ALTV4/Reports/ALTTestReport_Functional.aspx?Test_Seqno=WH126823" TargetMode="External"/><Relationship Id="rId754" Type="http://schemas.openxmlformats.org/officeDocument/2006/relationships/hyperlink" Target="http://100.65.83.171/ReportServer/Pages/ReportViewer.aspx?%2fgALT_V3_Reports%2fAll+Failure+Info+Export&amp;rs:Command=Render&amp;rc:Parameters=False&amp;Test_Seqno=RF124848" TargetMode="External"/><Relationship Id="rId90" Type="http://schemas.openxmlformats.org/officeDocument/2006/relationships/hyperlink" Target="http://100.65.83.171/ReportServer/Pages/ReportViewer.aspx?%2fgALT_V3_Reports%2fAll+Failure+Info+Export&amp;rs:Command=Render&amp;rc:Parameters=False&amp;Test_Seqno=WH131568" TargetMode="External"/><Relationship Id="rId186" Type="http://schemas.openxmlformats.org/officeDocument/2006/relationships/hyperlink" Target="http://100.65.83.171/ReportServer/Pages/ReportViewer.aspx?%2fgALT_V3_Reports%2fAll+Failure+Info+Export&amp;rs:Command=Render&amp;rc:Parameters=False&amp;Test_Seqno=WH130212" TargetMode="External"/><Relationship Id="rId351" Type="http://schemas.openxmlformats.org/officeDocument/2006/relationships/hyperlink" Target="http://reliability.mot.com/ALTV4/Reports/ALTTestReport_Functional.aspx?Test_Seqno=WH128209" TargetMode="External"/><Relationship Id="rId393" Type="http://schemas.openxmlformats.org/officeDocument/2006/relationships/hyperlink" Target="http://reliability.mot.com/ALTV4/Reports/ALTTestReport_Functional.aspx?Test_Seqno=WH127970" TargetMode="External"/><Relationship Id="rId407" Type="http://schemas.openxmlformats.org/officeDocument/2006/relationships/hyperlink" Target="http://reliability.mot.com/ALTV4/Reports/ALTTestReport_Functional.aspx?Test_Seqno=WH127795" TargetMode="External"/><Relationship Id="rId449" Type="http://schemas.openxmlformats.org/officeDocument/2006/relationships/hyperlink" Target="http://reliability.mot.com/ALTV4/Reports/ALTTestReport_Functional.aspx?Test_Seqno=WH127701" TargetMode="External"/><Relationship Id="rId614" Type="http://schemas.openxmlformats.org/officeDocument/2006/relationships/hyperlink" Target="http://100.65.83.171/ReportServer/Pages/ReportViewer.aspx?%2fgALT_V3_Reports%2fAll+Failure+Info+Export&amp;rs:Command=Render&amp;rc:Parameters=False&amp;Test_Seqno=RF126400" TargetMode="External"/><Relationship Id="rId656" Type="http://schemas.openxmlformats.org/officeDocument/2006/relationships/hyperlink" Target="http://100.65.83.171/ReportServer/Pages/ReportViewer.aspx?%2fgALT_V3_Reports%2fAll+Failure+Info+Export&amp;rs:Command=Render&amp;rc:Parameters=False&amp;Test_Seqno=WH126083" TargetMode="External"/><Relationship Id="rId211" Type="http://schemas.openxmlformats.org/officeDocument/2006/relationships/hyperlink" Target="http://reliability.mot.com/ALTV4/Reports/ALTTestReport_Functional.aspx?Test_Seqno=WH129909" TargetMode="External"/><Relationship Id="rId253" Type="http://schemas.openxmlformats.org/officeDocument/2006/relationships/hyperlink" Target="http://reliability.mot.com/ALTV4/Reports/ALTTestReport_Functional.aspx?Test_Seqno=WH129269" TargetMode="External"/><Relationship Id="rId295" Type="http://schemas.openxmlformats.org/officeDocument/2006/relationships/hyperlink" Target="http://reliability.mot.com/ALTV4/Reports/ALTTestReport_Functional.aspx?Test_Seqno=WH128509" TargetMode="External"/><Relationship Id="rId309" Type="http://schemas.openxmlformats.org/officeDocument/2006/relationships/hyperlink" Target="http://reliability.mot.com/ALTV4/Reports/ALTTestReport_Functional.aspx?Test_Seqno=RF128452" TargetMode="External"/><Relationship Id="rId460" Type="http://schemas.openxmlformats.org/officeDocument/2006/relationships/hyperlink" Target="http://100.65.83.171/ReportServer/Pages/ReportViewer.aspx?%2fgALT_V3_Reports%2fAll+Failure+Info+Export&amp;rs:Command=Render&amp;rc:Parameters=False&amp;Test_Seqno=WH127692" TargetMode="External"/><Relationship Id="rId516" Type="http://schemas.openxmlformats.org/officeDocument/2006/relationships/hyperlink" Target="http://100.65.83.171/ReportServer/Pages/ReportViewer.aspx?%2fgALT_V3_Reports%2fAll+Failure+Info+Export&amp;rs:Command=Render&amp;rc:Parameters=False&amp;Test_Seqno=WH127587" TargetMode="External"/><Relationship Id="rId698" Type="http://schemas.openxmlformats.org/officeDocument/2006/relationships/hyperlink" Target="http://100.65.83.171/ReportServer/Pages/ReportViewer.aspx?%2fgALT_V3_Reports%2fAll+Failure+Info+Export&amp;rs:Command=Render&amp;rc:Parameters=False&amp;Test_Seqno=RF125373" TargetMode="External"/><Relationship Id="rId48" Type="http://schemas.openxmlformats.org/officeDocument/2006/relationships/hyperlink" Target="http://100.65.83.171/ReportServer/Pages/ReportViewer.aspx?%2fgALT_V3_Reports%2fAll+Failure+Info+Export&amp;rs:Command=Render&amp;rc:Parameters=False&amp;Test_Seqno=RF133254" TargetMode="External"/><Relationship Id="rId113" Type="http://schemas.openxmlformats.org/officeDocument/2006/relationships/hyperlink" Target="http://reliability.mot.com/ALTV4/Reports/ALTTestReport_Functional.aspx?Test_Seqno=WH131091" TargetMode="External"/><Relationship Id="rId320" Type="http://schemas.openxmlformats.org/officeDocument/2006/relationships/hyperlink" Target="http://100.65.83.171/ReportServer/Pages/ReportViewer.aspx?%2fgALT_V3_Reports%2fAll+Failure+Info+Export&amp;rs:Command=Render&amp;rc:Parameters=False&amp;Test_Seqno=WH128415" TargetMode="External"/><Relationship Id="rId558" Type="http://schemas.openxmlformats.org/officeDocument/2006/relationships/hyperlink" Target="http://100.65.83.171/ReportServer/Pages/ReportViewer.aspx?%2fgALT_V3_Reports%2fAll+Failure+Info+Export&amp;rs:Command=Render&amp;rc:Parameters=False&amp;Test_Seqno=WH127041" TargetMode="External"/><Relationship Id="rId723" Type="http://schemas.openxmlformats.org/officeDocument/2006/relationships/hyperlink" Target="http://reliability.mot.com/ALTV4/Reports/ALTTestReport_Functional.aspx?Test_Seqno=WH125246" TargetMode="External"/><Relationship Id="rId155" Type="http://schemas.openxmlformats.org/officeDocument/2006/relationships/hyperlink" Target="http://reliability.mot.com/ALTV4/Reports/ALTTestReport_Functional.aspx?Test_Seqno=WH130532" TargetMode="External"/><Relationship Id="rId197" Type="http://schemas.openxmlformats.org/officeDocument/2006/relationships/hyperlink" Target="http://reliability.mot.com/ALTV4/Reports/ALTTestReport_Functional.aspx?Test_Seqno=WH130137" TargetMode="External"/><Relationship Id="rId362" Type="http://schemas.openxmlformats.org/officeDocument/2006/relationships/hyperlink" Target="http://100.65.83.171/ReportServer/Pages/ReportViewer.aspx?%2fgALT_V3_Reports%2fAll+Failure+Info+Export&amp;rs:Command=Render&amp;rc:Parameters=False&amp;Test_Seqno=WH128085" TargetMode="External"/><Relationship Id="rId418" Type="http://schemas.openxmlformats.org/officeDocument/2006/relationships/hyperlink" Target="http://100.65.83.171/ReportServer/Pages/ReportViewer.aspx?%2fgALT_V3_Reports%2fAll+Failure+Info+Export&amp;rs:Command=Render&amp;rc:Parameters=False&amp;Test_Seqno=WH127725" TargetMode="External"/><Relationship Id="rId625" Type="http://schemas.openxmlformats.org/officeDocument/2006/relationships/hyperlink" Target="http://reliability.mot.com/ALTV4/Reports/ALTTestReport_Functional.aspx?Test_Seqno=WH126249" TargetMode="External"/><Relationship Id="rId222" Type="http://schemas.openxmlformats.org/officeDocument/2006/relationships/hyperlink" Target="http://100.65.83.171/ReportServer/Pages/ReportViewer.aspx?%2fgALT_V3_Reports%2fAll+Failure+Info+Export&amp;rs:Command=Render&amp;rc:Parameters=False&amp;Test_Seqno=RF129737" TargetMode="External"/><Relationship Id="rId264" Type="http://schemas.openxmlformats.org/officeDocument/2006/relationships/hyperlink" Target="http://100.65.83.171/ReportServer/Pages/ReportViewer.aspx?%2fgALT_V3_Reports%2fAll+Failure+Info+Export&amp;rs:Command=Render&amp;rc:Parameters=False&amp;Test_Seqno=WH129216" TargetMode="External"/><Relationship Id="rId471" Type="http://schemas.openxmlformats.org/officeDocument/2006/relationships/hyperlink" Target="http://reliability.mot.com/ALTV4/Reports/ALTTestReport_Functional.aspx?Test_Seqno=WH127685" TargetMode="External"/><Relationship Id="rId667" Type="http://schemas.openxmlformats.org/officeDocument/2006/relationships/hyperlink" Target="http://reliability.mot.com/ALTV4/Reports/ALTTestReport_Functional.aspx?Test_Seqno=WH125958" TargetMode="External"/><Relationship Id="rId17" Type="http://schemas.openxmlformats.org/officeDocument/2006/relationships/hyperlink" Target="http://reliability.mot.com/ALTV4/Reports/ALTTestReport_Functional.aspx?Test_Seqno=WH136352" TargetMode="External"/><Relationship Id="rId59" Type="http://schemas.openxmlformats.org/officeDocument/2006/relationships/hyperlink" Target="http://reliability.mot.com/ALTV4/Reports/ALTTestReport_Functional.aspx?Test_Seqno=RF132398" TargetMode="External"/><Relationship Id="rId124" Type="http://schemas.openxmlformats.org/officeDocument/2006/relationships/hyperlink" Target="http://100.65.83.171/ReportServer/Pages/ReportViewer.aspx?%2fgALT_V3_Reports%2fAll+Failure+Info+Export&amp;rs:Command=Render&amp;rc:Parameters=False&amp;Test_Seqno=WH131051" TargetMode="External"/><Relationship Id="rId527" Type="http://schemas.openxmlformats.org/officeDocument/2006/relationships/hyperlink" Target="http://reliability.mot.com/ALTV4/Reports/ALTTestReport_Functional.aspx?Test_Seqno=WH127351" TargetMode="External"/><Relationship Id="rId569" Type="http://schemas.openxmlformats.org/officeDocument/2006/relationships/hyperlink" Target="http://reliability.mot.com/ALTV4/Reports/ALTTestReport_Functional.aspx?Test_Seqno=WH127032" TargetMode="External"/><Relationship Id="rId734" Type="http://schemas.openxmlformats.org/officeDocument/2006/relationships/hyperlink" Target="http://100.65.83.171/ReportServer/Pages/ReportViewer.aspx?%2fgALT_V3_Reports%2fAll+Failure+Info+Export&amp;rs:Command=Render&amp;rc:Parameters=False&amp;Test_Seqno=WH125241" TargetMode="External"/><Relationship Id="rId70" Type="http://schemas.openxmlformats.org/officeDocument/2006/relationships/hyperlink" Target="http://100.65.83.171/ReportServer/Pages/ReportViewer.aspx?%2fgALT_V3_Reports%2fAll+Failure+Info+Export&amp;rs:Command=Render&amp;rc:Parameters=False&amp;Test_Seqno=WH131933" TargetMode="External"/><Relationship Id="rId166" Type="http://schemas.openxmlformats.org/officeDocument/2006/relationships/hyperlink" Target="http://100.65.83.171/ReportServer/Pages/ReportViewer.aspx?%2fgALT_V3_Reports%2fAll+Failure+Info+Export&amp;rs:Command=Render&amp;rc:Parameters=False&amp;Test_Seqno=WH130356" TargetMode="External"/><Relationship Id="rId331" Type="http://schemas.openxmlformats.org/officeDocument/2006/relationships/hyperlink" Target="http://reliability.mot.com/ALTV4/Reports/ALTTestReport_Functional.aspx?Test_Seqno=WH128298" TargetMode="External"/><Relationship Id="rId373" Type="http://schemas.openxmlformats.org/officeDocument/2006/relationships/hyperlink" Target="http://reliability.mot.com/ALTV4/Reports/ALTTestReport_Functional.aspx?Test_Seqno=WH128071" TargetMode="External"/><Relationship Id="rId429" Type="http://schemas.openxmlformats.org/officeDocument/2006/relationships/hyperlink" Target="http://reliability.mot.com/ALTV4/Reports/ALTTestReport_Functional.aspx?Test_Seqno=WH127711" TargetMode="External"/><Relationship Id="rId580" Type="http://schemas.openxmlformats.org/officeDocument/2006/relationships/hyperlink" Target="http://100.65.83.171/ReportServer/Pages/ReportViewer.aspx?%2fgALT_V3_Reports%2fAll+Failure+Info+Export&amp;rs:Command=Render&amp;rc:Parameters=False&amp;Test_Seqno=WH126872" TargetMode="External"/><Relationship Id="rId636" Type="http://schemas.openxmlformats.org/officeDocument/2006/relationships/hyperlink" Target="http://100.65.83.171/ReportServer/Pages/ReportViewer.aspx?%2fgALT_V3_Reports%2fAll+Failure+Info+Export&amp;rs:Command=Render&amp;rc:Parameters=False&amp;Test_Seqno=WH126093" TargetMode="External"/><Relationship Id="rId1" Type="http://schemas.openxmlformats.org/officeDocument/2006/relationships/hyperlink" Target="http://reliability.mot.com/ALTV4/Reports/ALTTestReport_Functional.aspx?Test_Seqno=RF138393" TargetMode="External"/><Relationship Id="rId233" Type="http://schemas.openxmlformats.org/officeDocument/2006/relationships/hyperlink" Target="http://reliability.mot.com/ALTV4/Reports/ALTTestReport_Functional.aspx?Test_Seqno=WH129562" TargetMode="External"/><Relationship Id="rId440" Type="http://schemas.openxmlformats.org/officeDocument/2006/relationships/hyperlink" Target="http://100.65.83.171/ReportServer/Pages/ReportViewer.aspx?%2fgALT_V3_Reports%2fAll+Failure+Info+Export&amp;rs:Command=Render&amp;rc:Parameters=False&amp;Test_Seqno=WH127706" TargetMode="External"/><Relationship Id="rId678" Type="http://schemas.openxmlformats.org/officeDocument/2006/relationships/hyperlink" Target="http://100.65.83.171/ReportServer/Pages/ReportViewer.aspx?%2fgALT_V3_Reports%2fAll+Failure+Info+Export&amp;rs:Command=Render&amp;rc:Parameters=False&amp;Test_Seqno=RF125894" TargetMode="External"/><Relationship Id="rId28" Type="http://schemas.openxmlformats.org/officeDocument/2006/relationships/hyperlink" Target="http://100.65.83.171/ReportServer/Pages/ReportViewer.aspx?%2fgALT_V3_Reports%2fAll+Failure+Info+Export&amp;rs:Command=Render&amp;rc:Parameters=False&amp;Test_Seqno=RF135997" TargetMode="External"/><Relationship Id="rId275" Type="http://schemas.openxmlformats.org/officeDocument/2006/relationships/hyperlink" Target="http://reliability.mot.com/ALTV4/Reports/ALTTestReport_Functional.aspx?Test_Seqno=WH128911" TargetMode="External"/><Relationship Id="rId300" Type="http://schemas.openxmlformats.org/officeDocument/2006/relationships/hyperlink" Target="http://100.65.83.171/ReportServer/Pages/ReportViewer.aspx?%2fgALT_V3_Reports%2fAll+Failure+Info+Export&amp;rs:Command=Render&amp;rc:Parameters=False&amp;Test_Seqno=WH128493" TargetMode="External"/><Relationship Id="rId482" Type="http://schemas.openxmlformats.org/officeDocument/2006/relationships/hyperlink" Target="http://100.65.83.171/ReportServer/Pages/ReportViewer.aspx?%2fgALT_V3_Reports%2fAll+Failure+Info+Export&amp;rs:Command=Render&amp;rc:Parameters=False&amp;Test_Seqno=WH127675" TargetMode="External"/><Relationship Id="rId538" Type="http://schemas.openxmlformats.org/officeDocument/2006/relationships/hyperlink" Target="http://100.65.83.171/ReportServer/Pages/ReportViewer.aspx?%2fgALT_V3_Reports%2fAll+Failure+Info+Export&amp;rs:Command=Render&amp;rc:Parameters=False&amp;Test_Seqno=WH127262" TargetMode="External"/><Relationship Id="rId703" Type="http://schemas.openxmlformats.org/officeDocument/2006/relationships/hyperlink" Target="http://reliability.mot.com/ALTV4/Reports/ALTTestReport_Functional.aspx?Test_Seqno=WH125257" TargetMode="External"/><Relationship Id="rId745" Type="http://schemas.openxmlformats.org/officeDocument/2006/relationships/hyperlink" Target="http://reliability.mot.com/ALTV4/Reports/ALTTestReport_Functional.aspx?Test_Seqno=WH125131" TargetMode="External"/><Relationship Id="rId81" Type="http://schemas.openxmlformats.org/officeDocument/2006/relationships/hyperlink" Target="http://reliability.mot.com/ALTV4/Reports/ALTTestReport_Functional.aspx?Test_Seqno=WH131771" TargetMode="External"/><Relationship Id="rId135" Type="http://schemas.openxmlformats.org/officeDocument/2006/relationships/hyperlink" Target="http://reliability.mot.com/ALTV4/Reports/ALTTestReport_Functional.aspx?Test_Seqno=WH130896" TargetMode="External"/><Relationship Id="rId177" Type="http://schemas.openxmlformats.org/officeDocument/2006/relationships/hyperlink" Target="http://reliability.mot.com/ALTV4/Reports/ALTTestReport_Functional.aspx?Test_Seqno=WH130217" TargetMode="External"/><Relationship Id="rId342" Type="http://schemas.openxmlformats.org/officeDocument/2006/relationships/hyperlink" Target="http://100.65.83.171/ReportServer/Pages/ReportViewer.aspx?%2fgALT_V3_Reports%2fAll+Failure+Info+Export&amp;rs:Command=Render&amp;rc:Parameters=False&amp;Test_Seqno=WH128284" TargetMode="External"/><Relationship Id="rId384" Type="http://schemas.openxmlformats.org/officeDocument/2006/relationships/hyperlink" Target="http://100.65.83.171/ReportServer/Pages/ReportViewer.aspx?%2fgALT_V3_Reports%2fAll+Failure+Info+Export&amp;rs:Command=Render&amp;rc:Parameters=False&amp;Test_Seqno=WH127995" TargetMode="External"/><Relationship Id="rId591" Type="http://schemas.openxmlformats.org/officeDocument/2006/relationships/hyperlink" Target="http://reliability.mot.com/ALTV4/Reports/ALTTestReport_Functional.aspx?Test_Seqno=WH126809" TargetMode="External"/><Relationship Id="rId605" Type="http://schemas.openxmlformats.org/officeDocument/2006/relationships/hyperlink" Target="http://reliability.mot.com/ALTV4/Reports/ALTTestReport_Functional.aspx?Test_Seqno=WH126515" TargetMode="External"/><Relationship Id="rId202" Type="http://schemas.openxmlformats.org/officeDocument/2006/relationships/hyperlink" Target="http://100.65.83.171/ReportServer/Pages/ReportViewer.aspx?%2fgALT_V3_Reports%2fAll+Failure+Info+Export&amp;rs:Command=Render&amp;rc:Parameters=False&amp;Test_Seqno=WH130135" TargetMode="External"/><Relationship Id="rId244" Type="http://schemas.openxmlformats.org/officeDocument/2006/relationships/hyperlink" Target="http://100.65.83.171/ReportServer/Pages/ReportViewer.aspx?%2fgALT_V3_Reports%2fAll+Failure+Info+Export&amp;rs:Command=Render&amp;rc:Parameters=False&amp;Test_Seqno=WH129486" TargetMode="External"/><Relationship Id="rId647" Type="http://schemas.openxmlformats.org/officeDocument/2006/relationships/hyperlink" Target="http://reliability.mot.com/ALTV4/Reports/ALTTestReport_Functional.aspx?Test_Seqno=WH126087" TargetMode="External"/><Relationship Id="rId689" Type="http://schemas.openxmlformats.org/officeDocument/2006/relationships/hyperlink" Target="http://reliability.mot.com/ALTV4/Reports/ALTTestReport_Functional.aspx?Test_Seqno=WH125465" TargetMode="External"/><Relationship Id="rId39" Type="http://schemas.openxmlformats.org/officeDocument/2006/relationships/hyperlink" Target="http://reliability.mot.com/ALTV4/Reports/ALTTestReport_Functional.aspx?Test_Seqno=RF133661" TargetMode="External"/><Relationship Id="rId286" Type="http://schemas.openxmlformats.org/officeDocument/2006/relationships/hyperlink" Target="http://100.65.83.171/ReportServer/Pages/ReportViewer.aspx?%2fgALT_V3_Reports%2fAll+Failure+Info+Export&amp;rs:Command=Render&amp;rc:Parameters=False&amp;Test_Seqno=WH128683" TargetMode="External"/><Relationship Id="rId451" Type="http://schemas.openxmlformats.org/officeDocument/2006/relationships/hyperlink" Target="http://reliability.mot.com/ALTV4/Reports/ALTTestReport_Functional.aspx?Test_Seqno=WH127698" TargetMode="External"/><Relationship Id="rId493" Type="http://schemas.openxmlformats.org/officeDocument/2006/relationships/hyperlink" Target="http://reliability.mot.com/ALTV4/Reports/ALTTestReport_Functional.aspx?Test_Seqno=WH127663" TargetMode="External"/><Relationship Id="rId507" Type="http://schemas.openxmlformats.org/officeDocument/2006/relationships/hyperlink" Target="http://reliability.mot.com/ALTV4/Reports/ALTTestReport_Functional.aspx?Test_Seqno=WH127609" TargetMode="External"/><Relationship Id="rId549" Type="http://schemas.openxmlformats.org/officeDocument/2006/relationships/hyperlink" Target="http://reliability.mot.com/ALTV4/Reports/ALTTestReport_Functional.aspx?Test_Seqno=RF127110" TargetMode="External"/><Relationship Id="rId714" Type="http://schemas.openxmlformats.org/officeDocument/2006/relationships/hyperlink" Target="http://100.65.83.171/ReportServer/Pages/ReportViewer.aspx?%2fgALT_V3_Reports%2fAll+Failure+Info+Export&amp;rs:Command=Render&amp;rc:Parameters=False&amp;Test_Seqno=WH125252" TargetMode="External"/><Relationship Id="rId756" Type="http://schemas.openxmlformats.org/officeDocument/2006/relationships/hyperlink" Target="http://100.65.83.171/ReportServer/Pages/ReportViewer.aspx?%2fgALT_V3_Reports%2fAll+Failure+Info+Export&amp;rs:Command=Render&amp;rc:Parameters=False&amp;Test_Seqno=RF124834" TargetMode="External"/><Relationship Id="rId50" Type="http://schemas.openxmlformats.org/officeDocument/2006/relationships/hyperlink" Target="http://100.65.83.171/ReportServer/Pages/ReportViewer.aspx?%2fgALT_V3_Reports%2fAll+Failure+Info+Export&amp;rs:Command=Render&amp;rc:Parameters=False&amp;Test_Seqno=RF133054" TargetMode="External"/><Relationship Id="rId104" Type="http://schemas.openxmlformats.org/officeDocument/2006/relationships/hyperlink" Target="http://100.65.83.171/ReportServer/Pages/ReportViewer.aspx?%2fgALT_V3_Reports%2fAll+Failure+Info+Export&amp;rs:Command=Render&amp;rc:Parameters=False&amp;Test_Seqno=WH131339" TargetMode="External"/><Relationship Id="rId146" Type="http://schemas.openxmlformats.org/officeDocument/2006/relationships/hyperlink" Target="http://100.65.83.171/ReportServer/Pages/ReportViewer.aspx?%2fgALT_V3_Reports%2fAll+Failure+Info+Export&amp;rs:Command=Render&amp;rc:Parameters=False&amp;Test_Seqno=WH130722" TargetMode="External"/><Relationship Id="rId188" Type="http://schemas.openxmlformats.org/officeDocument/2006/relationships/hyperlink" Target="http://100.65.83.171/ReportServer/Pages/ReportViewer.aspx?%2fgALT_V3_Reports%2fAll+Failure+Info+Export&amp;rs:Command=Render&amp;rc:Parameters=False&amp;Test_Seqno=WH130144" TargetMode="External"/><Relationship Id="rId311" Type="http://schemas.openxmlformats.org/officeDocument/2006/relationships/hyperlink" Target="http://reliability.mot.com/ALTV4/Reports/ALTTestReport_Functional.aspx?Test_Seqno=RF128451" TargetMode="External"/><Relationship Id="rId353" Type="http://schemas.openxmlformats.org/officeDocument/2006/relationships/hyperlink" Target="http://reliability.mot.com/ALTV4/Reports/ALTTestReport_Functional.aspx?Test_Seqno=WH128208" TargetMode="External"/><Relationship Id="rId395" Type="http://schemas.openxmlformats.org/officeDocument/2006/relationships/hyperlink" Target="http://reliability.mot.com/ALTV4/Reports/ALTTestReport_Functional.aspx?Test_Seqno=WH127969" TargetMode="External"/><Relationship Id="rId409" Type="http://schemas.openxmlformats.org/officeDocument/2006/relationships/hyperlink" Target="http://reliability.mot.com/ALTV4/Reports/ALTTestReport_Functional.aspx?Test_Seqno=WH127729" TargetMode="External"/><Relationship Id="rId560" Type="http://schemas.openxmlformats.org/officeDocument/2006/relationships/hyperlink" Target="http://100.65.83.171/ReportServer/Pages/ReportViewer.aspx?%2fgALT_V3_Reports%2fAll+Failure+Info+Export&amp;rs:Command=Render&amp;rc:Parameters=False&amp;Test_Seqno=WH127040" TargetMode="External"/><Relationship Id="rId92" Type="http://schemas.openxmlformats.org/officeDocument/2006/relationships/hyperlink" Target="http://100.65.83.171/ReportServer/Pages/ReportViewer.aspx?%2fgALT_V3_Reports%2fAll+Failure+Info+Export&amp;rs:Command=Render&amp;rc:Parameters=False&amp;Test_Seqno=WH131385" TargetMode="External"/><Relationship Id="rId213" Type="http://schemas.openxmlformats.org/officeDocument/2006/relationships/hyperlink" Target="http://reliability.mot.com/ALTV4/Reports/ALTTestReport_Functional.aspx?Test_Seqno=WH129908" TargetMode="External"/><Relationship Id="rId420" Type="http://schemas.openxmlformats.org/officeDocument/2006/relationships/hyperlink" Target="http://100.65.83.171/ReportServer/Pages/ReportViewer.aspx?%2fgALT_V3_Reports%2fAll+Failure+Info+Export&amp;rs:Command=Render&amp;rc:Parameters=False&amp;Test_Seqno=WH127724" TargetMode="External"/><Relationship Id="rId616" Type="http://schemas.openxmlformats.org/officeDocument/2006/relationships/hyperlink" Target="http://100.65.83.171/ReportServer/Pages/ReportViewer.aspx?%2fgALT_V3_Reports%2fAll+Failure+Info+Export&amp;rs:Command=Render&amp;rc:Parameters=False&amp;Test_Seqno=RF126399" TargetMode="External"/><Relationship Id="rId658" Type="http://schemas.openxmlformats.org/officeDocument/2006/relationships/hyperlink" Target="http://100.65.83.171/ReportServer/Pages/ReportViewer.aspx?%2fgALT_V3_Reports%2fAll+Failure+Info+Export&amp;rs:Command=Render&amp;rc:Parameters=False&amp;Test_Seqno=WH126082" TargetMode="External"/><Relationship Id="rId255" Type="http://schemas.openxmlformats.org/officeDocument/2006/relationships/hyperlink" Target="http://reliability.mot.com/ALTV4/Reports/ALTTestReport_Functional.aspx?Test_Seqno=WH129268" TargetMode="External"/><Relationship Id="rId297" Type="http://schemas.openxmlformats.org/officeDocument/2006/relationships/hyperlink" Target="http://reliability.mot.com/ALTV4/Reports/ALTTestReport_Functional.aspx?Test_Seqno=WH128494" TargetMode="External"/><Relationship Id="rId462" Type="http://schemas.openxmlformats.org/officeDocument/2006/relationships/hyperlink" Target="http://100.65.83.171/ReportServer/Pages/ReportViewer.aspx?%2fgALT_V3_Reports%2fAll+Failure+Info+Export&amp;rs:Command=Render&amp;rc:Parameters=False&amp;Test_Seqno=WH127691" TargetMode="External"/><Relationship Id="rId518" Type="http://schemas.openxmlformats.org/officeDocument/2006/relationships/hyperlink" Target="http://100.65.83.171/ReportServer/Pages/ReportViewer.aspx?%2fgALT_V3_Reports%2fAll+Failure+Info+Export&amp;rs:Command=Render&amp;rc:Parameters=False&amp;Test_Seqno=WH127586" TargetMode="External"/><Relationship Id="rId725" Type="http://schemas.openxmlformats.org/officeDocument/2006/relationships/hyperlink" Target="http://reliability.mot.com/ALTV4/Reports/ALTTestReport_Functional.aspx?Test_Seqno=WH125245" TargetMode="External"/><Relationship Id="rId115" Type="http://schemas.openxmlformats.org/officeDocument/2006/relationships/hyperlink" Target="http://reliability.mot.com/ALTV4/Reports/ALTTestReport_Functional.aspx?Test_Seqno=WH131089" TargetMode="External"/><Relationship Id="rId157" Type="http://schemas.openxmlformats.org/officeDocument/2006/relationships/hyperlink" Target="http://reliability.mot.com/ALTV4/Reports/ALTTestReport_Functional.aspx?Test_Seqno=RF130488" TargetMode="External"/><Relationship Id="rId322" Type="http://schemas.openxmlformats.org/officeDocument/2006/relationships/hyperlink" Target="http://100.65.83.171/ReportServer/Pages/ReportViewer.aspx?%2fgALT_V3_Reports%2fAll+Failure+Info+Export&amp;rs:Command=Render&amp;rc:Parameters=False&amp;Test_Seqno=WH128303" TargetMode="External"/><Relationship Id="rId364" Type="http://schemas.openxmlformats.org/officeDocument/2006/relationships/hyperlink" Target="http://100.65.83.171/ReportServer/Pages/ReportViewer.aspx?%2fgALT_V3_Reports%2fAll+Failure+Info+Export&amp;rs:Command=Render&amp;rc:Parameters=False&amp;Test_Seqno=WH128084" TargetMode="External"/><Relationship Id="rId61" Type="http://schemas.openxmlformats.org/officeDocument/2006/relationships/hyperlink" Target="http://reliability.mot.com/ALTV4/Reports/ALTTestReport_Functional.aspx?Test_Seqno=WH132233" TargetMode="External"/><Relationship Id="rId199" Type="http://schemas.openxmlformats.org/officeDocument/2006/relationships/hyperlink" Target="http://reliability.mot.com/ALTV4/Reports/ALTTestReport_Functional.aspx?Test_Seqno=WH130136" TargetMode="External"/><Relationship Id="rId571" Type="http://schemas.openxmlformats.org/officeDocument/2006/relationships/hyperlink" Target="http://reliability.mot.com/ALTV4/Reports/ALTTestReport_Functional.aspx?Test_Seqno=RF126928" TargetMode="External"/><Relationship Id="rId627" Type="http://schemas.openxmlformats.org/officeDocument/2006/relationships/hyperlink" Target="http://reliability.mot.com/ALTV4/Reports/ALTTestReport_Functional.aspx?Test_Seqno=RF126160" TargetMode="External"/><Relationship Id="rId669" Type="http://schemas.openxmlformats.org/officeDocument/2006/relationships/hyperlink" Target="http://reliability.mot.com/ALTV4/Reports/ALTTestReport_Functional.aspx?Test_Seqno=WH125957" TargetMode="External"/><Relationship Id="rId19" Type="http://schemas.openxmlformats.org/officeDocument/2006/relationships/hyperlink" Target="http://reliability.mot.com/ALTV4/Reports/ALTTestReport_Functional.aspx?Test_Seqno=WH136120" TargetMode="External"/><Relationship Id="rId224" Type="http://schemas.openxmlformats.org/officeDocument/2006/relationships/hyperlink" Target="http://100.65.83.171/ReportServer/Pages/ReportViewer.aspx?%2fgALT_V3_Reports%2fAll+Failure+Info+Export&amp;rs:Command=Render&amp;rc:Parameters=False&amp;Test_Seqno=WH129717" TargetMode="External"/><Relationship Id="rId266" Type="http://schemas.openxmlformats.org/officeDocument/2006/relationships/hyperlink" Target="http://100.65.83.171/ReportServer/Pages/ReportViewer.aspx?%2fgALT_V3_Reports%2fAll+Failure+Info+Export&amp;rs:Command=Render&amp;rc:Parameters=False&amp;Test_Seqno=WH129215" TargetMode="External"/><Relationship Id="rId431" Type="http://schemas.openxmlformats.org/officeDocument/2006/relationships/hyperlink" Target="http://reliability.mot.com/ALTV4/Reports/ALTTestReport_Functional.aspx?Test_Seqno=WH127710" TargetMode="External"/><Relationship Id="rId473" Type="http://schemas.openxmlformats.org/officeDocument/2006/relationships/hyperlink" Target="http://reliability.mot.com/ALTV4/Reports/ALTTestReport_Functional.aspx?Test_Seqno=WH127684" TargetMode="External"/><Relationship Id="rId529" Type="http://schemas.openxmlformats.org/officeDocument/2006/relationships/hyperlink" Target="http://reliability.mot.com/ALTV4/Reports/ALTTestReport_Functional.aspx?Test_Seqno=WH127285" TargetMode="External"/><Relationship Id="rId680" Type="http://schemas.openxmlformats.org/officeDocument/2006/relationships/hyperlink" Target="http://100.65.83.171/ReportServer/Pages/ReportViewer.aspx?%2fgALT_V3_Reports%2fAll+Failure+Info+Export&amp;rs:Command=Render&amp;rc:Parameters=False&amp;Test_Seqno=WH125794" TargetMode="External"/><Relationship Id="rId736" Type="http://schemas.openxmlformats.org/officeDocument/2006/relationships/hyperlink" Target="http://100.65.83.171/ReportServer/Pages/ReportViewer.aspx?%2fgALT_V3_Reports%2fAll+Failure+Info+Export&amp;rs:Command=Render&amp;rc:Parameters=False&amp;Test_Seqno=WH125240" TargetMode="External"/><Relationship Id="rId30" Type="http://schemas.openxmlformats.org/officeDocument/2006/relationships/hyperlink" Target="http://100.65.83.171/ReportServer/Pages/ReportViewer.aspx?%2fgALT_V3_Reports%2fAll+Failure+Info+Export&amp;rs:Command=Render&amp;rc:Parameters=False&amp;Test_Seqno=RF135990" TargetMode="External"/><Relationship Id="rId126" Type="http://schemas.openxmlformats.org/officeDocument/2006/relationships/hyperlink" Target="http://100.65.83.171/ReportServer/Pages/ReportViewer.aspx?%2fgALT_V3_Reports%2fAll+Failure+Info+Export&amp;rs:Command=Render&amp;rc:Parameters=False&amp;Test_Seqno=RF131035" TargetMode="External"/><Relationship Id="rId168" Type="http://schemas.openxmlformats.org/officeDocument/2006/relationships/hyperlink" Target="http://100.65.83.171/ReportServer/Pages/ReportViewer.aspx?%2fgALT_V3_Reports%2fAll+Failure+Info+Export&amp;rs:Command=Render&amp;rc:Parameters=False&amp;Test_Seqno=WH130355" TargetMode="External"/><Relationship Id="rId333" Type="http://schemas.openxmlformats.org/officeDocument/2006/relationships/hyperlink" Target="http://reliability.mot.com/ALTV4/Reports/ALTTestReport_Functional.aspx?Test_Seqno=WH128297" TargetMode="External"/><Relationship Id="rId540" Type="http://schemas.openxmlformats.org/officeDocument/2006/relationships/hyperlink" Target="http://100.65.83.171/ReportServer/Pages/ReportViewer.aspx?%2fgALT_V3_Reports%2fAll+Failure+Info+Export&amp;rs:Command=Render&amp;rc:Parameters=False&amp;Test_Seqno=RF127193" TargetMode="External"/><Relationship Id="rId72" Type="http://schemas.openxmlformats.org/officeDocument/2006/relationships/hyperlink" Target="http://100.65.83.171/ReportServer/Pages/ReportViewer.aspx?%2fgALT_V3_Reports%2fAll+Failure+Info+Export&amp;rs:Command=Render&amp;rc:Parameters=False&amp;Test_Seqno=WH131932" TargetMode="External"/><Relationship Id="rId375" Type="http://schemas.openxmlformats.org/officeDocument/2006/relationships/hyperlink" Target="http://reliability.mot.com/ALTV4/Reports/ALTTestReport_Functional.aspx?Test_Seqno=WH128070" TargetMode="External"/><Relationship Id="rId582" Type="http://schemas.openxmlformats.org/officeDocument/2006/relationships/hyperlink" Target="http://100.65.83.171/ReportServer/Pages/ReportViewer.aspx?%2fgALT_V3_Reports%2fAll+Failure+Info+Export&amp;rs:Command=Render&amp;rc:Parameters=False&amp;Test_Seqno=WH126871" TargetMode="External"/><Relationship Id="rId638" Type="http://schemas.openxmlformats.org/officeDocument/2006/relationships/hyperlink" Target="http://100.65.83.171/ReportServer/Pages/ReportViewer.aspx?%2fgALT_V3_Reports%2fAll+Failure+Info+Export&amp;rs:Command=Render&amp;rc:Parameters=False&amp;Test_Seqno=WH126092" TargetMode="External"/><Relationship Id="rId3" Type="http://schemas.openxmlformats.org/officeDocument/2006/relationships/hyperlink" Target="http://reliability.mot.com/ALTV4/Reports/ALTTestReport_Functional.aspx?Test_Seqno=WH138179" TargetMode="External"/><Relationship Id="rId235" Type="http://schemas.openxmlformats.org/officeDocument/2006/relationships/hyperlink" Target="http://reliability.mot.com/ALTV4/Reports/ALTTestReport_Functional.aspx?Test_Seqno=WH129561" TargetMode="External"/><Relationship Id="rId277" Type="http://schemas.openxmlformats.org/officeDocument/2006/relationships/hyperlink" Target="http://reliability.mot.com/ALTV4/Reports/ALTTestReport_Functional.aspx?Test_Seqno=WH128895" TargetMode="External"/><Relationship Id="rId400" Type="http://schemas.openxmlformats.org/officeDocument/2006/relationships/hyperlink" Target="http://100.65.83.171/ReportServer/Pages/ReportViewer.aspx?%2fgALT_V3_Reports%2fAll+Failure+Info+Export&amp;rs:Command=Render&amp;rc:Parameters=False&amp;Test_Seqno=WH127958" TargetMode="External"/><Relationship Id="rId442" Type="http://schemas.openxmlformats.org/officeDocument/2006/relationships/hyperlink" Target="http://100.65.83.171/ReportServer/Pages/ReportViewer.aspx?%2fgALT_V3_Reports%2fAll+Failure+Info+Export&amp;rs:Command=Render&amp;rc:Parameters=False&amp;Test_Seqno=WH127705" TargetMode="External"/><Relationship Id="rId484" Type="http://schemas.openxmlformats.org/officeDocument/2006/relationships/hyperlink" Target="http://100.65.83.171/ReportServer/Pages/ReportViewer.aspx?%2fgALT_V3_Reports%2fAll+Failure+Info+Export&amp;rs:Command=Render&amp;rc:Parameters=False&amp;Test_Seqno=WH127673" TargetMode="External"/><Relationship Id="rId705" Type="http://schemas.openxmlformats.org/officeDocument/2006/relationships/hyperlink" Target="http://reliability.mot.com/ALTV4/Reports/ALTTestReport_Functional.aspx?Test_Seqno=WH125256" TargetMode="External"/><Relationship Id="rId137" Type="http://schemas.openxmlformats.org/officeDocument/2006/relationships/hyperlink" Target="http://reliability.mot.com/ALTV4/Reports/ALTTestReport_Functional.aspx?Test_Seqno=WH130895" TargetMode="External"/><Relationship Id="rId302" Type="http://schemas.openxmlformats.org/officeDocument/2006/relationships/hyperlink" Target="http://100.65.83.171/ReportServer/Pages/ReportViewer.aspx?%2fgALT_V3_Reports%2fAll+Failure+Info+Export&amp;rs:Command=Render&amp;rc:Parameters=False&amp;Test_Seqno=WH128488" TargetMode="External"/><Relationship Id="rId344" Type="http://schemas.openxmlformats.org/officeDocument/2006/relationships/hyperlink" Target="http://100.65.83.171/ReportServer/Pages/ReportViewer.aspx?%2fgALT_V3_Reports%2fAll+Failure+Info+Export&amp;rs:Command=Render&amp;rc:Parameters=False&amp;Test_Seqno=WH128238" TargetMode="External"/><Relationship Id="rId691" Type="http://schemas.openxmlformats.org/officeDocument/2006/relationships/hyperlink" Target="http://reliability.mot.com/ALTV4/Reports/ALTTestReport_Functional.aspx?Test_Seqno=WH125464" TargetMode="External"/><Relationship Id="rId747" Type="http://schemas.openxmlformats.org/officeDocument/2006/relationships/hyperlink" Target="http://reliability.mot.com/ALTV4/Reports/ALTTestReport_Functional.aspx?Test_Seqno=WH125123" TargetMode="External"/><Relationship Id="rId41" Type="http://schemas.openxmlformats.org/officeDocument/2006/relationships/hyperlink" Target="http://reliability.mot.com/ALTV4/Reports/ALTTestReport_Functional.aspx?Test_Seqno=RF133658" TargetMode="External"/><Relationship Id="rId83" Type="http://schemas.openxmlformats.org/officeDocument/2006/relationships/hyperlink" Target="http://reliability.mot.com/ALTV4/Reports/ALTTestReport_Functional.aspx?Test_Seqno=WH131694" TargetMode="External"/><Relationship Id="rId179" Type="http://schemas.openxmlformats.org/officeDocument/2006/relationships/hyperlink" Target="http://reliability.mot.com/ALTV4/Reports/ALTTestReport_Functional.aspx?Test_Seqno=WH130216" TargetMode="External"/><Relationship Id="rId386" Type="http://schemas.openxmlformats.org/officeDocument/2006/relationships/hyperlink" Target="http://100.65.83.171/ReportServer/Pages/ReportViewer.aspx?%2fgALT_V3_Reports%2fAll+Failure+Info+Export&amp;rs:Command=Render&amp;rc:Parameters=False&amp;Test_Seqno=WH127978" TargetMode="External"/><Relationship Id="rId551" Type="http://schemas.openxmlformats.org/officeDocument/2006/relationships/hyperlink" Target="http://reliability.mot.com/ALTV4/Reports/ALTTestReport_Functional.aspx?Test_Seqno=WH127044" TargetMode="External"/><Relationship Id="rId593" Type="http://schemas.openxmlformats.org/officeDocument/2006/relationships/hyperlink" Target="http://reliability.mot.com/ALTV4/Reports/ALTTestReport_Functional.aspx?Test_Seqno=WH126808" TargetMode="External"/><Relationship Id="rId607" Type="http://schemas.openxmlformats.org/officeDocument/2006/relationships/hyperlink" Target="http://reliability.mot.com/ALTV4/Reports/ALTTestReport_Functional.aspx?Test_Seqno=WH126503" TargetMode="External"/><Relationship Id="rId649" Type="http://schemas.openxmlformats.org/officeDocument/2006/relationships/hyperlink" Target="http://reliability.mot.com/ALTV4/Reports/ALTTestReport_Functional.aspx?Test_Seqno=WH126086" TargetMode="External"/><Relationship Id="rId190" Type="http://schemas.openxmlformats.org/officeDocument/2006/relationships/hyperlink" Target="http://100.65.83.171/ReportServer/Pages/ReportViewer.aspx?%2fgALT_V3_Reports%2fAll+Failure+Info+Export&amp;rs:Command=Render&amp;rc:Parameters=False&amp;Test_Seqno=WH130143" TargetMode="External"/><Relationship Id="rId204" Type="http://schemas.openxmlformats.org/officeDocument/2006/relationships/hyperlink" Target="http://100.65.83.171/ReportServer/Pages/ReportViewer.aspx?%2fgALT_V3_Reports%2fAll+Failure+Info+Export&amp;rs:Command=Render&amp;rc:Parameters=False&amp;Test_Seqno=WH130133" TargetMode="External"/><Relationship Id="rId246" Type="http://schemas.openxmlformats.org/officeDocument/2006/relationships/hyperlink" Target="http://100.65.83.171/ReportServer/Pages/ReportViewer.aspx?%2fgALT_V3_Reports%2fAll+Failure+Info+Export&amp;rs:Command=Render&amp;rc:Parameters=False&amp;Test_Seqno=WH129485" TargetMode="External"/><Relationship Id="rId288" Type="http://schemas.openxmlformats.org/officeDocument/2006/relationships/hyperlink" Target="http://100.65.83.171/ReportServer/Pages/ReportViewer.aspx?%2fgALT_V3_Reports%2fAll+Failure+Info+Export&amp;rs:Command=Render&amp;rc:Parameters=False&amp;Test_Seqno=RF128648" TargetMode="External"/><Relationship Id="rId411" Type="http://schemas.openxmlformats.org/officeDocument/2006/relationships/hyperlink" Target="http://reliability.mot.com/ALTV4/Reports/ALTTestReport_Functional.aspx?Test_Seqno=WH127728" TargetMode="External"/><Relationship Id="rId453" Type="http://schemas.openxmlformats.org/officeDocument/2006/relationships/hyperlink" Target="http://reliability.mot.com/ALTV4/Reports/ALTTestReport_Functional.aspx?Test_Seqno=WH127695" TargetMode="External"/><Relationship Id="rId509" Type="http://schemas.openxmlformats.org/officeDocument/2006/relationships/hyperlink" Target="http://reliability.mot.com/ALTV4/Reports/ALTTestReport_Functional.aspx?Test_Seqno=WH127590" TargetMode="External"/><Relationship Id="rId660" Type="http://schemas.openxmlformats.org/officeDocument/2006/relationships/hyperlink" Target="http://100.65.83.171/ReportServer/Pages/ReportViewer.aspx?%2fgALT_V3_Reports%2fAll+Failure+Info+Export&amp;rs:Command=Render&amp;rc:Parameters=False&amp;Test_Seqno=WH126081" TargetMode="External"/><Relationship Id="rId106" Type="http://schemas.openxmlformats.org/officeDocument/2006/relationships/hyperlink" Target="http://100.65.83.171/ReportServer/Pages/ReportViewer.aspx?%2fgALT_V3_Reports%2fAll+Failure+Info+Export&amp;rs:Command=Render&amp;rc:Parameters=False&amp;Test_Seqno=WH131278" TargetMode="External"/><Relationship Id="rId313" Type="http://schemas.openxmlformats.org/officeDocument/2006/relationships/hyperlink" Target="http://reliability.mot.com/ALTV4/Reports/ALTTestReport_Functional.aspx?Test_Seqno=WH128419" TargetMode="External"/><Relationship Id="rId495" Type="http://schemas.openxmlformats.org/officeDocument/2006/relationships/hyperlink" Target="http://reliability.mot.com/ALTV4/Reports/ALTTestReport_Functional.aspx?Test_Seqno=WH127662" TargetMode="External"/><Relationship Id="rId716" Type="http://schemas.openxmlformats.org/officeDocument/2006/relationships/hyperlink" Target="http://100.65.83.171/ReportServer/Pages/ReportViewer.aspx?%2fgALT_V3_Reports%2fAll+Failure+Info+Export&amp;rs:Command=Render&amp;rc:Parameters=False&amp;Test_Seqno=WH125251" TargetMode="External"/><Relationship Id="rId758" Type="http://schemas.openxmlformats.org/officeDocument/2006/relationships/hyperlink" Target="http://100.65.83.171/ReportServer/Pages/ReportViewer.aspx?%2fgALT_V3_Reports%2fAll+Failure+Info+Export&amp;rs:Command=Render&amp;rc:Parameters=False&amp;Test_Seqno=RF124833" TargetMode="External"/><Relationship Id="rId10" Type="http://schemas.openxmlformats.org/officeDocument/2006/relationships/hyperlink" Target="http://100.65.83.171/ReportServer/Pages/ReportViewer.aspx?%2fgALT_V3_Reports%2fAll+Failure+Info+Export&amp;rs:Command=Render&amp;rc:Parameters=False&amp;Test_Seqno=RF137122" TargetMode="External"/><Relationship Id="rId52" Type="http://schemas.openxmlformats.org/officeDocument/2006/relationships/hyperlink" Target="http://100.65.83.171/ReportServer/Pages/ReportViewer.aspx?%2fgALT_V3_Reports%2fAll+Failure+Info+Export&amp;rs:Command=Render&amp;rc:Parameters=False&amp;Test_Seqno=WH133030" TargetMode="External"/><Relationship Id="rId94" Type="http://schemas.openxmlformats.org/officeDocument/2006/relationships/hyperlink" Target="http://100.65.83.171/ReportServer/Pages/ReportViewer.aspx?%2fgALT_V3_Reports%2fAll+Failure+Info+Export&amp;rs:Command=Render&amp;rc:Parameters=False&amp;Test_Seqno=WH131383" TargetMode="External"/><Relationship Id="rId148" Type="http://schemas.openxmlformats.org/officeDocument/2006/relationships/hyperlink" Target="http://100.65.83.171/ReportServer/Pages/ReportViewer.aspx?%2fgALT_V3_Reports%2fAll+Failure+Info+Export&amp;rs:Command=Render&amp;rc:Parameters=False&amp;Test_Seqno=WH130717" TargetMode="External"/><Relationship Id="rId355" Type="http://schemas.openxmlformats.org/officeDocument/2006/relationships/hyperlink" Target="http://reliability.mot.com/ALTV4/Reports/ALTTestReport_Functional.aspx?Test_Seqno=WH128111" TargetMode="External"/><Relationship Id="rId397" Type="http://schemas.openxmlformats.org/officeDocument/2006/relationships/hyperlink" Target="http://reliability.mot.com/ALTV4/Reports/ALTTestReport_Functional.aspx?Test_Seqno=WH127968" TargetMode="External"/><Relationship Id="rId520" Type="http://schemas.openxmlformats.org/officeDocument/2006/relationships/hyperlink" Target="http://100.65.83.171/ReportServer/Pages/ReportViewer.aspx?%2fgALT_V3_Reports%2fAll+Failure+Info+Export&amp;rs:Command=Render&amp;rc:Parameters=False&amp;Test_Seqno=RF127570" TargetMode="External"/><Relationship Id="rId562" Type="http://schemas.openxmlformats.org/officeDocument/2006/relationships/hyperlink" Target="http://100.65.83.171/ReportServer/Pages/ReportViewer.aspx?%2fgALT_V3_Reports%2fAll+Failure+Info+Export&amp;rs:Command=Render&amp;rc:Parameters=False&amp;Test_Seqno=WH127039" TargetMode="External"/><Relationship Id="rId618" Type="http://schemas.openxmlformats.org/officeDocument/2006/relationships/hyperlink" Target="http://100.65.83.171/ReportServer/Pages/ReportViewer.aspx?%2fgALT_V3_Reports%2fAll+Failure+Info+Export&amp;rs:Command=Render&amp;rc:Parameters=False&amp;Test_Seqno=RF126329" TargetMode="External"/><Relationship Id="rId215" Type="http://schemas.openxmlformats.org/officeDocument/2006/relationships/hyperlink" Target="http://reliability.mot.com/ALTV4/Reports/ALTTestReport_Functional.aspx?Test_Seqno=WH129814" TargetMode="External"/><Relationship Id="rId257" Type="http://schemas.openxmlformats.org/officeDocument/2006/relationships/hyperlink" Target="http://reliability.mot.com/ALTV4/Reports/ALTTestReport_Functional.aspx?Test_Seqno=RF129251" TargetMode="External"/><Relationship Id="rId422" Type="http://schemas.openxmlformats.org/officeDocument/2006/relationships/hyperlink" Target="http://100.65.83.171/ReportServer/Pages/ReportViewer.aspx?%2fgALT_V3_Reports%2fAll+Failure+Info+Export&amp;rs:Command=Render&amp;rc:Parameters=False&amp;Test_Seqno=WH127715" TargetMode="External"/><Relationship Id="rId464" Type="http://schemas.openxmlformats.org/officeDocument/2006/relationships/hyperlink" Target="http://100.65.83.171/ReportServer/Pages/ReportViewer.aspx?%2fgALT_V3_Reports%2fAll+Failure+Info+Export&amp;rs:Command=Render&amp;rc:Parameters=False&amp;Test_Seqno=WH127690" TargetMode="External"/><Relationship Id="rId299" Type="http://schemas.openxmlformats.org/officeDocument/2006/relationships/hyperlink" Target="http://reliability.mot.com/ALTV4/Reports/ALTTestReport_Functional.aspx?Test_Seqno=WH128493" TargetMode="External"/><Relationship Id="rId727" Type="http://schemas.openxmlformats.org/officeDocument/2006/relationships/hyperlink" Target="http://reliability.mot.com/ALTV4/Reports/ALTTestReport_Functional.aspx?Test_Seqno=WH125244" TargetMode="External"/><Relationship Id="rId63" Type="http://schemas.openxmlformats.org/officeDocument/2006/relationships/hyperlink" Target="http://reliability.mot.com/ALTV4/Reports/ALTTestReport_Functional.aspx?Test_Seqno=RF132231" TargetMode="External"/><Relationship Id="rId159" Type="http://schemas.openxmlformats.org/officeDocument/2006/relationships/hyperlink" Target="http://reliability.mot.com/ALTV4/Reports/ALTTestReport_Functional.aspx?Test_Seqno=RF130447" TargetMode="External"/><Relationship Id="rId366" Type="http://schemas.openxmlformats.org/officeDocument/2006/relationships/hyperlink" Target="http://100.65.83.171/ReportServer/Pages/ReportViewer.aspx?%2fgALT_V3_Reports%2fAll+Failure+Info+Export&amp;rs:Command=Render&amp;rc:Parameters=False&amp;Test_Seqno=RF128083" TargetMode="External"/><Relationship Id="rId573" Type="http://schemas.openxmlformats.org/officeDocument/2006/relationships/hyperlink" Target="http://reliability.mot.com/ALTV4/Reports/ALTTestReport_Functional.aspx?Test_Seqno=RF126919" TargetMode="External"/><Relationship Id="rId226" Type="http://schemas.openxmlformats.org/officeDocument/2006/relationships/hyperlink" Target="http://100.65.83.171/ReportServer/Pages/ReportViewer.aspx?%2fgALT_V3_Reports%2fAll+Failure+Info+Export&amp;rs:Command=Render&amp;rc:Parameters=False&amp;Test_Seqno=WH129704" TargetMode="External"/><Relationship Id="rId433" Type="http://schemas.openxmlformats.org/officeDocument/2006/relationships/hyperlink" Target="http://reliability.mot.com/ALTV4/Reports/ALTTestReport_Functional.aspx?Test_Seqno=WH127709" TargetMode="External"/><Relationship Id="rId640" Type="http://schemas.openxmlformats.org/officeDocument/2006/relationships/hyperlink" Target="http://100.65.83.171/ReportServer/Pages/ReportViewer.aspx?%2fgALT_V3_Reports%2fAll+Failure+Info+Export&amp;rs:Command=Render&amp;rc:Parameters=False&amp;Test_Seqno=WH126091" TargetMode="External"/><Relationship Id="rId738" Type="http://schemas.openxmlformats.org/officeDocument/2006/relationships/hyperlink" Target="http://100.65.83.171/ReportServer/Pages/ReportViewer.aspx?%2fgALT_V3_Reports%2fAll+Failure+Info+Export&amp;rs:Command=Render&amp;rc:Parameters=False&amp;Test_Seqno=WH125239" TargetMode="External"/><Relationship Id="rId74" Type="http://schemas.openxmlformats.org/officeDocument/2006/relationships/hyperlink" Target="http://100.65.83.171/ReportServer/Pages/ReportViewer.aspx?%2fgALT_V3_Reports%2fAll+Failure+Info+Export&amp;rs:Command=Render&amp;rc:Parameters=False&amp;Test_Seqno=WH131884" TargetMode="External"/><Relationship Id="rId377" Type="http://schemas.openxmlformats.org/officeDocument/2006/relationships/hyperlink" Target="http://reliability.mot.com/ALTV4/Reports/ALTTestReport_Functional.aspx?Test_Seqno=WH128069" TargetMode="External"/><Relationship Id="rId500" Type="http://schemas.openxmlformats.org/officeDocument/2006/relationships/hyperlink" Target="http://100.65.83.171/ReportServer/Pages/ReportViewer.aspx?%2fgALT_V3_Reports%2fAll+Failure+Info+Export&amp;rs:Command=Render&amp;rc:Parameters=False&amp;Test_Seqno=WH127660" TargetMode="External"/><Relationship Id="rId584" Type="http://schemas.openxmlformats.org/officeDocument/2006/relationships/hyperlink" Target="http://100.65.83.171/ReportServer/Pages/ReportViewer.aspx?%2fgALT_V3_Reports%2fAll+Failure+Info+Export&amp;rs:Command=Render&amp;rc:Parameters=False&amp;Test_Seqno=WH126870" TargetMode="External"/><Relationship Id="rId5" Type="http://schemas.openxmlformats.org/officeDocument/2006/relationships/hyperlink" Target="http://reliability.mot.com/ALTV4/Reports/ALTTestReport_Functional.aspx?Test_Seqno=WH137413" TargetMode="External"/><Relationship Id="rId237" Type="http://schemas.openxmlformats.org/officeDocument/2006/relationships/hyperlink" Target="http://reliability.mot.com/ALTV4/Reports/ALTTestReport_Functional.aspx?Test_Seqno=WH129560" TargetMode="External"/><Relationship Id="rId444" Type="http://schemas.openxmlformats.org/officeDocument/2006/relationships/hyperlink" Target="http://100.65.83.171/ReportServer/Pages/ReportViewer.aspx?%2fgALT_V3_Reports%2fAll+Failure+Info+Export&amp;rs:Command=Render&amp;rc:Parameters=False&amp;Test_Seqno=WH127704" TargetMode="External"/><Relationship Id="rId651" Type="http://schemas.openxmlformats.org/officeDocument/2006/relationships/hyperlink" Target="http://reliability.mot.com/ALTV4/Reports/ALTTestReport_Functional.aspx?Test_Seqno=WH126085" TargetMode="External"/><Relationship Id="rId749" Type="http://schemas.openxmlformats.org/officeDocument/2006/relationships/hyperlink" Target="http://reliability.mot.com/ALTV4/Reports/ALTTestReport_Functional.aspx?Test_Seqno=RF124960" TargetMode="External"/><Relationship Id="rId290" Type="http://schemas.openxmlformats.org/officeDocument/2006/relationships/hyperlink" Target="http://100.65.83.171/ReportServer/Pages/ReportViewer.aspx?%2fgALT_V3_Reports%2fAll+Failure+Info+Export&amp;rs:Command=Render&amp;rc:Parameters=False&amp;Test_Seqno=WH128597" TargetMode="External"/><Relationship Id="rId304" Type="http://schemas.openxmlformats.org/officeDocument/2006/relationships/hyperlink" Target="http://100.65.83.171/ReportServer/Pages/ReportViewer.aspx?%2fgALT_V3_Reports%2fAll+Failure+Info+Export&amp;rs:Command=Render&amp;rc:Parameters=False&amp;Test_Seqno=WH128487" TargetMode="External"/><Relationship Id="rId388" Type="http://schemas.openxmlformats.org/officeDocument/2006/relationships/hyperlink" Target="http://100.65.83.171/ReportServer/Pages/ReportViewer.aspx?%2fgALT_V3_Reports%2fAll+Failure+Info+Export&amp;rs:Command=Render&amp;rc:Parameters=False&amp;Test_Seqno=WH127973" TargetMode="External"/><Relationship Id="rId511" Type="http://schemas.openxmlformats.org/officeDocument/2006/relationships/hyperlink" Target="http://reliability.mot.com/ALTV4/Reports/ALTTestReport_Functional.aspx?Test_Seqno=WH127589" TargetMode="External"/><Relationship Id="rId609" Type="http://schemas.openxmlformats.org/officeDocument/2006/relationships/hyperlink" Target="http://reliability.mot.com/ALTV4/Reports/ALTTestReport_Functional.aspx?Test_Seqno=WH126435" TargetMode="External"/><Relationship Id="rId85" Type="http://schemas.openxmlformats.org/officeDocument/2006/relationships/hyperlink" Target="http://reliability.mot.com/ALTV4/Reports/ALTTestReport_Functional.aspx?Test_Seqno=WH131641" TargetMode="External"/><Relationship Id="rId150" Type="http://schemas.openxmlformats.org/officeDocument/2006/relationships/hyperlink" Target="http://100.65.83.171/ReportServer/Pages/ReportViewer.aspx?%2fgALT_V3_Reports%2fAll+Failure+Info+Export&amp;rs:Command=Render&amp;rc:Parameters=False&amp;Test_Seqno=WH130578" TargetMode="External"/><Relationship Id="rId595" Type="http://schemas.openxmlformats.org/officeDocument/2006/relationships/hyperlink" Target="http://reliability.mot.com/ALTV4/Reports/ALTTestReport_Functional.aspx?Test_Seqno=WH126807" TargetMode="External"/><Relationship Id="rId248" Type="http://schemas.openxmlformats.org/officeDocument/2006/relationships/hyperlink" Target="http://100.65.83.171/ReportServer/Pages/ReportViewer.aspx?%2fgALT_V3_Reports%2fAll+Failure+Info+Export&amp;rs:Command=Render&amp;rc:Parameters=False&amp;Test_Seqno=WH129483" TargetMode="External"/><Relationship Id="rId455" Type="http://schemas.openxmlformats.org/officeDocument/2006/relationships/hyperlink" Target="http://reliability.mot.com/ALTV4/Reports/ALTTestReport_Functional.aspx?Test_Seqno=WH127694" TargetMode="External"/><Relationship Id="rId662" Type="http://schemas.openxmlformats.org/officeDocument/2006/relationships/hyperlink" Target="http://100.65.83.171/ReportServer/Pages/ReportViewer.aspx?%2fgALT_V3_Reports%2fAll+Failure+Info+Export&amp;rs:Command=Render&amp;rc:Parameters=False&amp;Test_Seqno=WH126080" TargetMode="External"/><Relationship Id="rId12" Type="http://schemas.openxmlformats.org/officeDocument/2006/relationships/hyperlink" Target="http://100.65.83.171/ReportServer/Pages/ReportViewer.aspx?%2fgALT_V3_Reports%2fAll+Failure+Info+Export&amp;rs:Command=Render&amp;rc:Parameters=False&amp;Test_Seqno=RF137121" TargetMode="External"/><Relationship Id="rId108" Type="http://schemas.openxmlformats.org/officeDocument/2006/relationships/hyperlink" Target="http://100.65.83.171/ReportServer/Pages/ReportViewer.aspx?%2fgALT_V3_Reports%2fAll+Failure+Info+Export&amp;rs:Command=Render&amp;rc:Parameters=False&amp;Test_Seqno=WH131223" TargetMode="External"/><Relationship Id="rId315" Type="http://schemas.openxmlformats.org/officeDocument/2006/relationships/hyperlink" Target="http://reliability.mot.com/ALTV4/Reports/ALTTestReport_Functional.aspx?Test_Seqno=WH128418" TargetMode="External"/><Relationship Id="rId522" Type="http://schemas.openxmlformats.org/officeDocument/2006/relationships/hyperlink" Target="http://100.65.83.171/ReportServer/Pages/ReportViewer.aspx?%2fgALT_V3_Reports%2fAll+Failure+Info+Export&amp;rs:Command=Render&amp;rc:Parameters=False&amp;Test_Seqno=RF127569" TargetMode="External"/><Relationship Id="rId96" Type="http://schemas.openxmlformats.org/officeDocument/2006/relationships/hyperlink" Target="http://100.65.83.171/ReportServer/Pages/ReportViewer.aspx?%2fgALT_V3_Reports%2fAll+Failure+Info+Export&amp;rs:Command=Render&amp;rc:Parameters=False&amp;Test_Seqno=WH131379" TargetMode="External"/><Relationship Id="rId161" Type="http://schemas.openxmlformats.org/officeDocument/2006/relationships/hyperlink" Target="http://reliability.mot.com/ALTV4/Reports/ALTTestReport_Functional.aspx?Test_Seqno=WH130358" TargetMode="External"/><Relationship Id="rId399" Type="http://schemas.openxmlformats.org/officeDocument/2006/relationships/hyperlink" Target="http://reliability.mot.com/ALTV4/Reports/ALTTestReport_Functional.aspx?Test_Seqno=WH127958" TargetMode="External"/><Relationship Id="rId259" Type="http://schemas.openxmlformats.org/officeDocument/2006/relationships/hyperlink" Target="http://reliability.mot.com/ALTV4/Reports/ALTTestReport_Functional.aspx?Test_Seqno=RF129249" TargetMode="External"/><Relationship Id="rId466" Type="http://schemas.openxmlformats.org/officeDocument/2006/relationships/hyperlink" Target="http://100.65.83.171/ReportServer/Pages/ReportViewer.aspx?%2fgALT_V3_Reports%2fAll+Failure+Info+Export&amp;rs:Command=Render&amp;rc:Parameters=False&amp;Test_Seqno=WH127689" TargetMode="External"/><Relationship Id="rId673" Type="http://schemas.openxmlformats.org/officeDocument/2006/relationships/hyperlink" Target="http://reliability.mot.com/ALTV4/Reports/ALTTestReport_Functional.aspx?Test_Seqno=RF125903" TargetMode="External"/><Relationship Id="rId23" Type="http://schemas.openxmlformats.org/officeDocument/2006/relationships/hyperlink" Target="http://reliability.mot.com/ALTV4/Reports/ALTTestReport_Functional.aspx?Test_Seqno=WH136083" TargetMode="External"/><Relationship Id="rId119" Type="http://schemas.openxmlformats.org/officeDocument/2006/relationships/hyperlink" Target="http://reliability.mot.com/ALTV4/Reports/ALTTestReport_Functional.aspx?Test_Seqno=WH131068" TargetMode="External"/><Relationship Id="rId326" Type="http://schemas.openxmlformats.org/officeDocument/2006/relationships/hyperlink" Target="http://100.65.83.171/ReportServer/Pages/ReportViewer.aspx?%2fgALT_V3_Reports%2fAll+Failure+Info+Export&amp;rs:Command=Render&amp;rc:Parameters=False&amp;Test_Seqno=WH128301" TargetMode="External"/><Relationship Id="rId533" Type="http://schemas.openxmlformats.org/officeDocument/2006/relationships/hyperlink" Target="http://reliability.mot.com/ALTV4/Reports/ALTTestReport_Functional.aspx?Test_Seqno=RF127283" TargetMode="External"/><Relationship Id="rId740" Type="http://schemas.openxmlformats.org/officeDocument/2006/relationships/hyperlink" Target="http://100.65.83.171/ReportServer/Pages/ReportViewer.aspx?%2fgALT_V3_Reports%2fAll+Failure+Info+Export&amp;rs:Command=Render&amp;rc:Parameters=False&amp;Test_Seqno=WH125238" TargetMode="External"/><Relationship Id="rId172" Type="http://schemas.openxmlformats.org/officeDocument/2006/relationships/hyperlink" Target="http://100.65.83.171/ReportServer/Pages/ReportViewer.aspx?%2fgALT_V3_Reports%2fAll+Failure+Info+Export&amp;rs:Command=Render&amp;rc:Parameters=False&amp;Test_Seqno=WH130297" TargetMode="External"/><Relationship Id="rId477" Type="http://schemas.openxmlformats.org/officeDocument/2006/relationships/hyperlink" Target="http://reliability.mot.com/ALTV4/Reports/ALTTestReport_Functional.aspx?Test_Seqno=WH127678" TargetMode="External"/><Relationship Id="rId600" Type="http://schemas.openxmlformats.org/officeDocument/2006/relationships/hyperlink" Target="http://100.65.83.171/ReportServer/Pages/ReportViewer.aspx?%2fgALT_V3_Reports%2fAll+Failure+Info+Export&amp;rs:Command=Render&amp;rc:Parameters=False&amp;Test_Seqno=WH126663" TargetMode="External"/><Relationship Id="rId684" Type="http://schemas.openxmlformats.org/officeDocument/2006/relationships/hyperlink" Target="http://100.65.83.171/ReportServer/Pages/ReportViewer.aspx?%2fgALT_V3_Reports%2fAll+Failure+Info+Export&amp;rs:Command=Render&amp;rc:Parameters=False&amp;Test_Seqno=RF125683" TargetMode="External"/><Relationship Id="rId337" Type="http://schemas.openxmlformats.org/officeDocument/2006/relationships/hyperlink" Target="http://reliability.mot.com/ALTV4/Reports/ALTTestReport_Functional.aspx?Test_Seqno=WH128295" TargetMode="External"/><Relationship Id="rId34" Type="http://schemas.openxmlformats.org/officeDocument/2006/relationships/hyperlink" Target="http://100.65.83.171/ReportServer/Pages/ReportViewer.aspx?%2fgALT_V3_Reports%2fAll+Failure+Info+Export&amp;rs:Command=Render&amp;rc:Parameters=False&amp;Test_Seqno=WH135403" TargetMode="External"/><Relationship Id="rId544" Type="http://schemas.openxmlformats.org/officeDocument/2006/relationships/hyperlink" Target="http://100.65.83.171/ReportServer/Pages/ReportViewer.aspx?%2fgALT_V3_Reports%2fAll+Failure+Info+Export&amp;rs:Command=Render&amp;rc:Parameters=False&amp;Test_Seqno=WH127178" TargetMode="External"/><Relationship Id="rId751" Type="http://schemas.openxmlformats.org/officeDocument/2006/relationships/hyperlink" Target="http://reliability.mot.com/ALTV4/Reports/ALTTestReport_Functional.aspx?Test_Seqno=RF124872" TargetMode="External"/><Relationship Id="rId183" Type="http://schemas.openxmlformats.org/officeDocument/2006/relationships/hyperlink" Target="http://reliability.mot.com/ALTV4/Reports/ALTTestReport_Functional.aspx?Test_Seqno=WH130213" TargetMode="External"/><Relationship Id="rId390" Type="http://schemas.openxmlformats.org/officeDocument/2006/relationships/hyperlink" Target="http://100.65.83.171/ReportServer/Pages/ReportViewer.aspx?%2fgALT_V3_Reports%2fAll+Failure+Info+Export&amp;rs:Command=Render&amp;rc:Parameters=False&amp;Test_Seqno=WH127972" TargetMode="External"/><Relationship Id="rId404" Type="http://schemas.openxmlformats.org/officeDocument/2006/relationships/hyperlink" Target="http://100.65.83.171/ReportServer/Pages/ReportViewer.aspx?%2fgALT_V3_Reports%2fAll+Failure+Info+Export&amp;rs:Command=Render&amp;rc:Parameters=False&amp;Test_Seqno=RF127941" TargetMode="External"/><Relationship Id="rId611" Type="http://schemas.openxmlformats.org/officeDocument/2006/relationships/hyperlink" Target="http://reliability.mot.com/ALTV4/Reports/ALTTestReport_Functional.aspx?Test_Seqno=RF126401" TargetMode="External"/><Relationship Id="rId250" Type="http://schemas.openxmlformats.org/officeDocument/2006/relationships/hyperlink" Target="http://100.65.83.171/ReportServer/Pages/ReportViewer.aspx?%2fgALT_V3_Reports%2fAll+Failure+Info+Export&amp;rs:Command=Render&amp;rc:Parameters=False&amp;Test_Seqno=WH129464" TargetMode="External"/><Relationship Id="rId488" Type="http://schemas.openxmlformats.org/officeDocument/2006/relationships/hyperlink" Target="http://100.65.83.171/ReportServer/Pages/ReportViewer.aspx?%2fgALT_V3_Reports%2fAll+Failure+Info+Export&amp;rs:Command=Render&amp;rc:Parameters=False&amp;Test_Seqno=WH127667" TargetMode="External"/><Relationship Id="rId695" Type="http://schemas.openxmlformats.org/officeDocument/2006/relationships/hyperlink" Target="http://reliability.mot.com/ALTV4/Reports/ALTTestReport_Functional.aspx?Test_Seqno=RF125374" TargetMode="External"/><Relationship Id="rId709" Type="http://schemas.openxmlformats.org/officeDocument/2006/relationships/hyperlink" Target="http://reliability.mot.com/ALTV4/Reports/ALTTestReport_Functional.aspx?Test_Seqno=WH125254" TargetMode="External"/><Relationship Id="rId45" Type="http://schemas.openxmlformats.org/officeDocument/2006/relationships/hyperlink" Target="http://reliability.mot.com/ALTV4/Reports/ALTTestReport_Functional.aspx?Test_Seqno=WH133600" TargetMode="External"/><Relationship Id="rId110" Type="http://schemas.openxmlformats.org/officeDocument/2006/relationships/hyperlink" Target="http://100.65.83.171/ReportServer/Pages/ReportViewer.aspx?%2fgALT_V3_Reports%2fAll+Failure+Info+Export&amp;rs:Command=Render&amp;rc:Parameters=False&amp;Test_Seqno=WH131203" TargetMode="External"/><Relationship Id="rId348" Type="http://schemas.openxmlformats.org/officeDocument/2006/relationships/hyperlink" Target="http://100.65.83.171/ReportServer/Pages/ReportViewer.aspx?%2fgALT_V3_Reports%2fAll+Failure+Info+Export&amp;rs:Command=Render&amp;rc:Parameters=False&amp;Test_Seqno=WH128212" TargetMode="External"/><Relationship Id="rId555" Type="http://schemas.openxmlformats.org/officeDocument/2006/relationships/hyperlink" Target="http://reliability.mot.com/ALTV4/Reports/ALTTestReport_Functional.aspx?Test_Seqno=WH127042" TargetMode="External"/><Relationship Id="rId762" Type="http://schemas.openxmlformats.org/officeDocument/2006/relationships/hyperlink" Target="http://100.65.83.171/ReportServer/Pages/ReportViewer.aspx?%2fgALT_V3_Reports%2fAll+Failure+Info+Export&amp;rs:Command=Render&amp;rc:Parameters=False&amp;Test_Seqno=WH124712" TargetMode="External"/><Relationship Id="rId194" Type="http://schemas.openxmlformats.org/officeDocument/2006/relationships/hyperlink" Target="http://100.65.83.171/ReportServer/Pages/ReportViewer.aspx?%2fgALT_V3_Reports%2fAll+Failure+Info+Export&amp;rs:Command=Render&amp;rc:Parameters=False&amp;Test_Seqno=WH130140" TargetMode="External"/><Relationship Id="rId208" Type="http://schemas.openxmlformats.org/officeDocument/2006/relationships/hyperlink" Target="http://100.65.83.171/ReportServer/Pages/ReportViewer.aspx?%2fgALT_V3_Reports%2fAll+Failure+Info+Export&amp;rs:Command=Render&amp;rc:Parameters=False&amp;Test_Seqno=WH130054" TargetMode="External"/><Relationship Id="rId415" Type="http://schemas.openxmlformats.org/officeDocument/2006/relationships/hyperlink" Target="http://reliability.mot.com/ALTV4/Reports/ALTTestReport_Functional.aspx?Test_Seqno=WH127726" TargetMode="External"/><Relationship Id="rId622" Type="http://schemas.openxmlformats.org/officeDocument/2006/relationships/hyperlink" Target="http://100.65.83.171/ReportServer/Pages/ReportViewer.aspx?%2fgALT_V3_Reports%2fAll+Failure+Info+Export&amp;rs:Command=Render&amp;rc:Parameters=False&amp;Test_Seqno=RF126322" TargetMode="External"/><Relationship Id="rId261" Type="http://schemas.openxmlformats.org/officeDocument/2006/relationships/hyperlink" Target="http://reliability.mot.com/ALTV4/Reports/ALTTestReport_Functional.aspx?Test_Seqno=WH129217" TargetMode="External"/><Relationship Id="rId499" Type="http://schemas.openxmlformats.org/officeDocument/2006/relationships/hyperlink" Target="http://reliability.mot.com/ALTV4/Reports/ALTTestReport_Functional.aspx?Test_Seqno=WH127660" TargetMode="External"/><Relationship Id="rId56" Type="http://schemas.openxmlformats.org/officeDocument/2006/relationships/hyperlink" Target="http://100.65.83.171/ReportServer/Pages/ReportViewer.aspx?%2fgALT_V3_Reports%2fAll+Failure+Info+Export&amp;rs:Command=Render&amp;rc:Parameters=False&amp;Test_Seqno=WH132822" TargetMode="External"/><Relationship Id="rId359" Type="http://schemas.openxmlformats.org/officeDocument/2006/relationships/hyperlink" Target="http://reliability.mot.com/ALTV4/Reports/ALTTestReport_Functional.aspx?Test_Seqno=WH128086" TargetMode="External"/><Relationship Id="rId566" Type="http://schemas.openxmlformats.org/officeDocument/2006/relationships/hyperlink" Target="http://100.65.83.171/ReportServer/Pages/ReportViewer.aspx?%2fgALT_V3_Reports%2fAll+Failure+Info+Export&amp;rs:Command=Render&amp;rc:Parameters=False&amp;Test_Seqno=WH127037" TargetMode="External"/><Relationship Id="rId121" Type="http://schemas.openxmlformats.org/officeDocument/2006/relationships/hyperlink" Target="http://reliability.mot.com/ALTV4/Reports/ALTTestReport_Functional.aspx?Test_Seqno=WH131067" TargetMode="External"/><Relationship Id="rId219" Type="http://schemas.openxmlformats.org/officeDocument/2006/relationships/hyperlink" Target="http://reliability.mot.com/ALTV4/Reports/ALTTestReport_Functional.aspx?Test_Seqno=WH129744" TargetMode="External"/><Relationship Id="rId426" Type="http://schemas.openxmlformats.org/officeDocument/2006/relationships/hyperlink" Target="http://100.65.83.171/ReportServer/Pages/ReportViewer.aspx?%2fgALT_V3_Reports%2fAll+Failure+Info+Export&amp;rs:Command=Render&amp;rc:Parameters=False&amp;Test_Seqno=WH127713" TargetMode="External"/><Relationship Id="rId633" Type="http://schemas.openxmlformats.org/officeDocument/2006/relationships/hyperlink" Target="http://reliability.mot.com/ALTV4/Reports/ALTTestReport_Functional.aspx?Test_Seqno=WH126094" TargetMode="External"/><Relationship Id="rId67" Type="http://schemas.openxmlformats.org/officeDocument/2006/relationships/hyperlink" Target="http://reliability.mot.com/ALTV4/Reports/ALTTestReport_Functional.aspx?Test_Seqno=WH132008" TargetMode="External"/><Relationship Id="rId272" Type="http://schemas.openxmlformats.org/officeDocument/2006/relationships/hyperlink" Target="http://100.65.83.171/ReportServer/Pages/ReportViewer.aspx?%2fgALT_V3_Reports%2fAll+Failure+Info+Export&amp;rs:Command=Render&amp;rc:Parameters=False&amp;Test_Seqno=WH129159" TargetMode="External"/><Relationship Id="rId577" Type="http://schemas.openxmlformats.org/officeDocument/2006/relationships/hyperlink" Target="http://reliability.mot.com/ALTV4/Reports/ALTTestReport_Functional.aspx?Test_Seqno=WH126873" TargetMode="External"/><Relationship Id="rId700" Type="http://schemas.openxmlformats.org/officeDocument/2006/relationships/hyperlink" Target="http://100.65.83.171/ReportServer/Pages/ReportViewer.aspx?%2fgALT_V3_Reports%2fAll+Failure+Info+Export&amp;rs:Command=Render&amp;rc:Parameters=False&amp;Test_Seqno=RF125372" TargetMode="External"/><Relationship Id="rId132" Type="http://schemas.openxmlformats.org/officeDocument/2006/relationships/hyperlink" Target="http://100.65.83.171/ReportServer/Pages/ReportViewer.aspx?%2fgALT_V3_Reports%2fAll+Failure+Info+Export&amp;rs:Command=Render&amp;rc:Parameters=False&amp;Test_Seqno=WH130954" TargetMode="External"/><Relationship Id="rId437" Type="http://schemas.openxmlformats.org/officeDocument/2006/relationships/hyperlink" Target="http://reliability.mot.com/ALTV4/Reports/ALTTestReport_Functional.aspx?Test_Seqno=WH127707" TargetMode="External"/><Relationship Id="rId644" Type="http://schemas.openxmlformats.org/officeDocument/2006/relationships/hyperlink" Target="http://100.65.83.171/ReportServer/Pages/ReportViewer.aspx?%2fgALT_V3_Reports%2fAll+Failure+Info+Export&amp;rs:Command=Render&amp;rc:Parameters=False&amp;Test_Seqno=WH126089" TargetMode="External"/><Relationship Id="rId283" Type="http://schemas.openxmlformats.org/officeDocument/2006/relationships/hyperlink" Target="http://reliability.mot.com/ALTV4/Reports/ALTTestReport_Functional.aspx?Test_Seqno=WH128741" TargetMode="External"/><Relationship Id="rId490" Type="http://schemas.openxmlformats.org/officeDocument/2006/relationships/hyperlink" Target="http://100.65.83.171/ReportServer/Pages/ReportViewer.aspx?%2fgALT_V3_Reports%2fAll+Failure+Info+Export&amp;rs:Command=Render&amp;rc:Parameters=False&amp;Test_Seqno=WH127666" TargetMode="External"/><Relationship Id="rId504" Type="http://schemas.openxmlformats.org/officeDocument/2006/relationships/hyperlink" Target="http://100.65.83.171/ReportServer/Pages/ReportViewer.aspx?%2fgALT_V3_Reports%2fAll+Failure+Info+Export&amp;rs:Command=Render&amp;rc:Parameters=False&amp;Test_Seqno=WH127616" TargetMode="External"/><Relationship Id="rId711" Type="http://schemas.openxmlformats.org/officeDocument/2006/relationships/hyperlink" Target="http://reliability.mot.com/ALTV4/Reports/ALTTestReport_Functional.aspx?Test_Seqno=WH125253" TargetMode="External"/><Relationship Id="rId78" Type="http://schemas.openxmlformats.org/officeDocument/2006/relationships/hyperlink" Target="http://100.65.83.171/ReportServer/Pages/ReportViewer.aspx?%2fgALT_V3_Reports%2fAll+Failure+Info+Export&amp;rs:Command=Render&amp;rc:Parameters=False&amp;Test_Seqno=WH131867" TargetMode="External"/><Relationship Id="rId143" Type="http://schemas.openxmlformats.org/officeDocument/2006/relationships/hyperlink" Target="http://reliability.mot.com/ALTV4/Reports/ALTTestReport_Functional.aspx?Test_Seqno=WH130803" TargetMode="External"/><Relationship Id="rId350" Type="http://schemas.openxmlformats.org/officeDocument/2006/relationships/hyperlink" Target="http://100.65.83.171/ReportServer/Pages/ReportViewer.aspx?%2fgALT_V3_Reports%2fAll+Failure+Info+Export&amp;rs:Command=Render&amp;rc:Parameters=False&amp;Test_Seqno=WH128210" TargetMode="External"/><Relationship Id="rId588" Type="http://schemas.openxmlformats.org/officeDocument/2006/relationships/hyperlink" Target="http://100.65.83.171/ReportServer/Pages/ReportViewer.aspx?%2fgALT_V3_Reports%2fAll+Failure+Info+Export&amp;rs:Command=Render&amp;rc:Parameters=False&amp;Test_Seqno=RF126833" TargetMode="External"/><Relationship Id="rId9" Type="http://schemas.openxmlformats.org/officeDocument/2006/relationships/hyperlink" Target="http://reliability.mot.com/ALTV4/Reports/ALTTestReport_Functional.aspx?Test_Seqno=RF137122" TargetMode="External"/><Relationship Id="rId210" Type="http://schemas.openxmlformats.org/officeDocument/2006/relationships/hyperlink" Target="http://100.65.83.171/ReportServer/Pages/ReportViewer.aspx?%2fgALT_V3_Reports%2fAll+Failure+Info+Export&amp;rs:Command=Render&amp;rc:Parameters=False&amp;Test_Seqno=RF129982" TargetMode="External"/><Relationship Id="rId448" Type="http://schemas.openxmlformats.org/officeDocument/2006/relationships/hyperlink" Target="http://100.65.83.171/ReportServer/Pages/ReportViewer.aspx?%2fgALT_V3_Reports%2fAll+Failure+Info+Export&amp;rs:Command=Render&amp;rc:Parameters=False&amp;Test_Seqno=WH127702" TargetMode="External"/><Relationship Id="rId655" Type="http://schemas.openxmlformats.org/officeDocument/2006/relationships/hyperlink" Target="http://reliability.mot.com/ALTV4/Reports/ALTTestReport_Functional.aspx?Test_Seqno=WH126083" TargetMode="External"/><Relationship Id="rId294" Type="http://schemas.openxmlformats.org/officeDocument/2006/relationships/hyperlink" Target="http://100.65.83.171/ReportServer/Pages/ReportViewer.aspx?%2fgALT_V3_Reports%2fAll+Failure+Info+Export&amp;rs:Command=Render&amp;rc:Parameters=False&amp;Test_Seqno=WH128510" TargetMode="External"/><Relationship Id="rId308" Type="http://schemas.openxmlformats.org/officeDocument/2006/relationships/hyperlink" Target="http://100.65.83.171/ReportServer/Pages/ReportViewer.aspx?%2fgALT_V3_Reports%2fAll+Failure+Info+Export&amp;rs:Command=Render&amp;rc:Parameters=False&amp;Test_Seqno=RF128453" TargetMode="External"/><Relationship Id="rId515" Type="http://schemas.openxmlformats.org/officeDocument/2006/relationships/hyperlink" Target="http://reliability.mot.com/ALTV4/Reports/ALTTestReport_Functional.aspx?Test_Seqno=WH127587" TargetMode="External"/><Relationship Id="rId722" Type="http://schemas.openxmlformats.org/officeDocument/2006/relationships/hyperlink" Target="http://100.65.83.171/ReportServer/Pages/ReportViewer.aspx?%2fgALT_V3_Reports%2fAll+Failure+Info+Export&amp;rs:Command=Render&amp;rc:Parameters=False&amp;Test_Seqno=WH125248" TargetMode="External"/><Relationship Id="rId89" Type="http://schemas.openxmlformats.org/officeDocument/2006/relationships/hyperlink" Target="http://reliability.mot.com/ALTV4/Reports/ALTTestReport_Functional.aspx?Test_Seqno=WH131568" TargetMode="External"/><Relationship Id="rId154" Type="http://schemas.openxmlformats.org/officeDocument/2006/relationships/hyperlink" Target="http://100.65.83.171/ReportServer/Pages/ReportViewer.aspx?%2fgALT_V3_Reports%2fAll+Failure+Info+Export&amp;rs:Command=Render&amp;rc:Parameters=False&amp;Test_Seqno=WH130538" TargetMode="External"/><Relationship Id="rId361" Type="http://schemas.openxmlformats.org/officeDocument/2006/relationships/hyperlink" Target="http://reliability.mot.com/ALTV4/Reports/ALTTestReport_Functional.aspx?Test_Seqno=WH128085" TargetMode="External"/><Relationship Id="rId599" Type="http://schemas.openxmlformats.org/officeDocument/2006/relationships/hyperlink" Target="http://reliability.mot.com/ALTV4/Reports/ALTTestReport_Functional.aspx?Test_Seqno=WH126663" TargetMode="External"/><Relationship Id="rId459" Type="http://schemas.openxmlformats.org/officeDocument/2006/relationships/hyperlink" Target="http://reliability.mot.com/ALTV4/Reports/ALTTestReport_Functional.aspx?Test_Seqno=WH127692" TargetMode="External"/><Relationship Id="rId666" Type="http://schemas.openxmlformats.org/officeDocument/2006/relationships/hyperlink" Target="http://100.65.83.171/ReportServer/Pages/ReportViewer.aspx?%2fgALT_V3_Reports%2fAll+Failure+Info+Export&amp;rs:Command=Render&amp;rc:Parameters=False&amp;Test_Seqno=RF126078" TargetMode="External"/><Relationship Id="rId16" Type="http://schemas.openxmlformats.org/officeDocument/2006/relationships/hyperlink" Target="http://100.65.83.171/ReportServer/Pages/ReportViewer.aspx?%2fgALT_V3_Reports%2fAll+Failure+Info+Export&amp;rs:Command=Render&amp;rc:Parameters=False&amp;Test_Seqno=WH136782" TargetMode="External"/><Relationship Id="rId221" Type="http://schemas.openxmlformats.org/officeDocument/2006/relationships/hyperlink" Target="http://reliability.mot.com/ALTV4/Reports/ALTTestReport_Functional.aspx?Test_Seqno=RF129737" TargetMode="External"/><Relationship Id="rId319" Type="http://schemas.openxmlformats.org/officeDocument/2006/relationships/hyperlink" Target="http://reliability.mot.com/ALTV4/Reports/ALTTestReport_Functional.aspx?Test_Seqno=WH128415" TargetMode="External"/><Relationship Id="rId526" Type="http://schemas.openxmlformats.org/officeDocument/2006/relationships/hyperlink" Target="http://100.65.83.171/ReportServer/Pages/ReportViewer.aspx?%2fgALT_V3_Reports%2fAll+Failure+Info+Export&amp;rs:Command=Render&amp;rc:Parameters=False&amp;Test_Seqno=RF127452" TargetMode="External"/><Relationship Id="rId733" Type="http://schemas.openxmlformats.org/officeDocument/2006/relationships/hyperlink" Target="http://reliability.mot.com/ALTV4/Reports/ALTTestReport_Functional.aspx?Test_Seqno=WH125241" TargetMode="External"/><Relationship Id="rId165" Type="http://schemas.openxmlformats.org/officeDocument/2006/relationships/hyperlink" Target="http://reliability.mot.com/ALTV4/Reports/ALTTestReport_Functional.aspx?Test_Seqno=WH130356" TargetMode="External"/><Relationship Id="rId372" Type="http://schemas.openxmlformats.org/officeDocument/2006/relationships/hyperlink" Target="http://100.65.83.171/ReportServer/Pages/ReportViewer.aspx?%2fgALT_V3_Reports%2fAll+Failure+Info+Export&amp;rs:Command=Render&amp;rc:Parameters=False&amp;Test_Seqno=WH128072" TargetMode="External"/><Relationship Id="rId677" Type="http://schemas.openxmlformats.org/officeDocument/2006/relationships/hyperlink" Target="http://reliability.mot.com/ALTV4/Reports/ALTTestReport_Functional.aspx?Test_Seqno=RF125894" TargetMode="External"/><Relationship Id="rId232" Type="http://schemas.openxmlformats.org/officeDocument/2006/relationships/hyperlink" Target="http://100.65.83.171/ReportServer/Pages/ReportViewer.aspx?%2fgALT_V3_Reports%2fAll+Failure+Info+Export&amp;rs:Command=Render&amp;rc:Parameters=False&amp;Test_Seqno=WH129641" TargetMode="External"/><Relationship Id="rId27" Type="http://schemas.openxmlformats.org/officeDocument/2006/relationships/hyperlink" Target="http://reliability.mot.com/ALTV4/Reports/ALTTestReport_Functional.aspx?Test_Seqno=RF135997" TargetMode="External"/><Relationship Id="rId537" Type="http://schemas.openxmlformats.org/officeDocument/2006/relationships/hyperlink" Target="http://reliability.mot.com/ALTV4/Reports/ALTTestReport_Functional.aspx?Test_Seqno=WH127262" TargetMode="External"/><Relationship Id="rId744" Type="http://schemas.openxmlformats.org/officeDocument/2006/relationships/hyperlink" Target="http://100.65.83.171/ReportServer/Pages/ReportViewer.aspx?%2fgALT_V3_Reports%2fAll+Failure+Info+Export&amp;rs:Command=Render&amp;rc:Parameters=False&amp;Test_Seqno=RF125236" TargetMode="External"/><Relationship Id="rId80" Type="http://schemas.openxmlformats.org/officeDocument/2006/relationships/hyperlink" Target="http://100.65.83.171/ReportServer/Pages/ReportViewer.aspx?%2fgALT_V3_Reports%2fAll+Failure+Info+Export&amp;rs:Command=Render&amp;rc:Parameters=False&amp;Test_Seqno=WH131772" TargetMode="External"/><Relationship Id="rId176" Type="http://schemas.openxmlformats.org/officeDocument/2006/relationships/hyperlink" Target="http://100.65.83.171/ReportServer/Pages/ReportViewer.aspx?%2fgALT_V3_Reports%2fAll+Failure+Info+Export&amp;rs:Command=Render&amp;rc:Parameters=False&amp;Test_Seqno=WH130265" TargetMode="External"/><Relationship Id="rId383" Type="http://schemas.openxmlformats.org/officeDocument/2006/relationships/hyperlink" Target="http://reliability.mot.com/ALTV4/Reports/ALTTestReport_Functional.aspx?Test_Seqno=WH127995" TargetMode="External"/><Relationship Id="rId590" Type="http://schemas.openxmlformats.org/officeDocument/2006/relationships/hyperlink" Target="http://100.65.83.171/ReportServer/Pages/ReportViewer.aspx?%2fgALT_V3_Reports%2fAll+Failure+Info+Export&amp;rs:Command=Render&amp;rc:Parameters=False&amp;Test_Seqno=WH126823" TargetMode="External"/><Relationship Id="rId604" Type="http://schemas.openxmlformats.org/officeDocument/2006/relationships/hyperlink" Target="http://100.65.83.171/ReportServer/Pages/ReportViewer.aspx?%2fgALT_V3_Reports%2fAll+Failure+Info+Export&amp;rs:Command=Render&amp;rc:Parameters=False&amp;Test_Seqno=WH126552" TargetMode="External"/><Relationship Id="rId243" Type="http://schemas.openxmlformats.org/officeDocument/2006/relationships/hyperlink" Target="http://reliability.mot.com/ALTV4/Reports/ALTTestReport_Functional.aspx?Test_Seqno=WH129486" TargetMode="External"/><Relationship Id="rId450" Type="http://schemas.openxmlformats.org/officeDocument/2006/relationships/hyperlink" Target="http://100.65.83.171/ReportServer/Pages/ReportViewer.aspx?%2fgALT_V3_Reports%2fAll+Failure+Info+Export&amp;rs:Command=Render&amp;rc:Parameters=False&amp;Test_Seqno=WH127701" TargetMode="External"/><Relationship Id="rId688" Type="http://schemas.openxmlformats.org/officeDocument/2006/relationships/hyperlink" Target="http://100.65.83.171/ReportServer/Pages/ReportViewer.aspx?%2fgALT_V3_Reports%2fAll+Failure+Info+Export&amp;rs:Command=Render&amp;rc:Parameters=False&amp;Test_Seqno=WH125466" TargetMode="External"/><Relationship Id="rId38" Type="http://schemas.openxmlformats.org/officeDocument/2006/relationships/hyperlink" Target="http://100.65.83.171/ReportServer/Pages/ReportViewer.aspx?%2fgALT_V3_Reports%2fAll+Failure+Info+Export&amp;rs:Command=Render&amp;rc:Parameters=False&amp;Test_Seqno=WH133765" TargetMode="External"/><Relationship Id="rId103" Type="http://schemas.openxmlformats.org/officeDocument/2006/relationships/hyperlink" Target="http://reliability.mot.com/ALTV4/Reports/ALTTestReport_Functional.aspx?Test_Seqno=WH131339" TargetMode="External"/><Relationship Id="rId310" Type="http://schemas.openxmlformats.org/officeDocument/2006/relationships/hyperlink" Target="http://100.65.83.171/ReportServer/Pages/ReportViewer.aspx?%2fgALT_V3_Reports%2fAll+Failure+Info+Export&amp;rs:Command=Render&amp;rc:Parameters=False&amp;Test_Seqno=RF128452" TargetMode="External"/><Relationship Id="rId548" Type="http://schemas.openxmlformats.org/officeDocument/2006/relationships/hyperlink" Target="http://100.65.83.171/ReportServer/Pages/ReportViewer.aspx?%2fgALT_V3_Reports%2fAll+Failure+Info+Export&amp;rs:Command=Render&amp;rc:Parameters=False&amp;Test_Seqno=RF127138" TargetMode="External"/><Relationship Id="rId755" Type="http://schemas.openxmlformats.org/officeDocument/2006/relationships/hyperlink" Target="http://reliability.mot.com/ALTV4/Reports/ALTTestReport_Functional.aspx?Test_Seqno=RF124834" TargetMode="External"/><Relationship Id="rId91" Type="http://schemas.openxmlformats.org/officeDocument/2006/relationships/hyperlink" Target="http://reliability.mot.com/ALTV4/Reports/ALTTestReport_Functional.aspx?Test_Seqno=WH131385" TargetMode="External"/><Relationship Id="rId187" Type="http://schemas.openxmlformats.org/officeDocument/2006/relationships/hyperlink" Target="http://reliability.mot.com/ALTV4/Reports/ALTTestReport_Functional.aspx?Test_Seqno=WH130144" TargetMode="External"/><Relationship Id="rId394" Type="http://schemas.openxmlformats.org/officeDocument/2006/relationships/hyperlink" Target="http://100.65.83.171/ReportServer/Pages/ReportViewer.aspx?%2fgALT_V3_Reports%2fAll+Failure+Info+Export&amp;rs:Command=Render&amp;rc:Parameters=False&amp;Test_Seqno=WH127970" TargetMode="External"/><Relationship Id="rId408" Type="http://schemas.openxmlformats.org/officeDocument/2006/relationships/hyperlink" Target="http://100.65.83.171/ReportServer/Pages/ReportViewer.aspx?%2fgALT_V3_Reports%2fAll+Failure+Info+Export&amp;rs:Command=Render&amp;rc:Parameters=False&amp;Test_Seqno=WH127795" TargetMode="External"/><Relationship Id="rId615" Type="http://schemas.openxmlformats.org/officeDocument/2006/relationships/hyperlink" Target="http://reliability.mot.com/ALTV4/Reports/ALTTestReport_Functional.aspx?Test_Seqno=RF126399" TargetMode="External"/><Relationship Id="rId254" Type="http://schemas.openxmlformats.org/officeDocument/2006/relationships/hyperlink" Target="http://100.65.83.171/ReportServer/Pages/ReportViewer.aspx?%2fgALT_V3_Reports%2fAll+Failure+Info+Export&amp;rs:Command=Render&amp;rc:Parameters=False&amp;Test_Seqno=WH129269" TargetMode="External"/><Relationship Id="rId699" Type="http://schemas.openxmlformats.org/officeDocument/2006/relationships/hyperlink" Target="http://reliability.mot.com/ALTV4/Reports/ALTTestReport_Functional.aspx?Test_Seqno=RF125372" TargetMode="External"/><Relationship Id="rId49" Type="http://schemas.openxmlformats.org/officeDocument/2006/relationships/hyperlink" Target="http://reliability.mot.com/ALTV4/Reports/ALTTestReport_Functional.aspx?Test_Seqno=RF133054" TargetMode="External"/><Relationship Id="rId114" Type="http://schemas.openxmlformats.org/officeDocument/2006/relationships/hyperlink" Target="http://100.65.83.171/ReportServer/Pages/ReportViewer.aspx?%2fgALT_V3_Reports%2fAll+Failure+Info+Export&amp;rs:Command=Render&amp;rc:Parameters=False&amp;Test_Seqno=WH131091" TargetMode="External"/><Relationship Id="rId461" Type="http://schemas.openxmlformats.org/officeDocument/2006/relationships/hyperlink" Target="http://reliability.mot.com/ALTV4/Reports/ALTTestReport_Functional.aspx?Test_Seqno=WH127691" TargetMode="External"/><Relationship Id="rId559" Type="http://schemas.openxmlformats.org/officeDocument/2006/relationships/hyperlink" Target="http://reliability.mot.com/ALTV4/Reports/ALTTestReport_Functional.aspx?Test_Seqno=WH127040" TargetMode="External"/><Relationship Id="rId198" Type="http://schemas.openxmlformats.org/officeDocument/2006/relationships/hyperlink" Target="http://100.65.83.171/ReportServer/Pages/ReportViewer.aspx?%2fgALT_V3_Reports%2fAll+Failure+Info+Export&amp;rs:Command=Render&amp;rc:Parameters=False&amp;Test_Seqno=WH130137" TargetMode="External"/><Relationship Id="rId321" Type="http://schemas.openxmlformats.org/officeDocument/2006/relationships/hyperlink" Target="http://reliability.mot.com/ALTV4/Reports/ALTTestReport_Functional.aspx?Test_Seqno=WH128303" TargetMode="External"/><Relationship Id="rId419" Type="http://schemas.openxmlformats.org/officeDocument/2006/relationships/hyperlink" Target="http://reliability.mot.com/ALTV4/Reports/ALTTestReport_Functional.aspx?Test_Seqno=WH127724" TargetMode="External"/><Relationship Id="rId626" Type="http://schemas.openxmlformats.org/officeDocument/2006/relationships/hyperlink" Target="http://100.65.83.171/ReportServer/Pages/ReportViewer.aspx?%2fgALT_V3_Reports%2fAll+Failure+Info+Export&amp;rs:Command=Render&amp;rc:Parameters=False&amp;Test_Seqno=WH126249" TargetMode="External"/><Relationship Id="rId265" Type="http://schemas.openxmlformats.org/officeDocument/2006/relationships/hyperlink" Target="http://reliability.mot.com/ALTV4/Reports/ALTTestReport_Functional.aspx?Test_Seqno=WH129215" TargetMode="External"/><Relationship Id="rId472" Type="http://schemas.openxmlformats.org/officeDocument/2006/relationships/hyperlink" Target="http://100.65.83.171/ReportServer/Pages/ReportViewer.aspx?%2fgALT_V3_Reports%2fAll+Failure+Info+Export&amp;rs:Command=Render&amp;rc:Parameters=False&amp;Test_Seqno=WH127685" TargetMode="External"/><Relationship Id="rId125" Type="http://schemas.openxmlformats.org/officeDocument/2006/relationships/hyperlink" Target="http://reliability.mot.com/ALTV4/Reports/ALTTestReport_Functional.aspx?Test_Seqno=RF131035" TargetMode="External"/><Relationship Id="rId332" Type="http://schemas.openxmlformats.org/officeDocument/2006/relationships/hyperlink" Target="http://100.65.83.171/ReportServer/Pages/ReportViewer.aspx?%2fgALT_V3_Reports%2fAll+Failure+Info+Export&amp;rs:Command=Render&amp;rc:Parameters=False&amp;Test_Seqno=WH128298" TargetMode="External"/><Relationship Id="rId637" Type="http://schemas.openxmlformats.org/officeDocument/2006/relationships/hyperlink" Target="http://reliability.mot.com/ALTV4/Reports/ALTTestReport_Functional.aspx?Test_Seqno=WH126092" TargetMode="External"/><Relationship Id="rId276" Type="http://schemas.openxmlformats.org/officeDocument/2006/relationships/hyperlink" Target="http://100.65.83.171/ReportServer/Pages/ReportViewer.aspx?%2fgALT_V3_Reports%2fAll+Failure+Info+Export&amp;rs:Command=Render&amp;rc:Parameters=False&amp;Test_Seqno=WH128911" TargetMode="External"/><Relationship Id="rId483" Type="http://schemas.openxmlformats.org/officeDocument/2006/relationships/hyperlink" Target="http://reliability.mot.com/ALTV4/Reports/ALTTestReport_Functional.aspx?Test_Seqno=WH127673" TargetMode="External"/><Relationship Id="rId690" Type="http://schemas.openxmlformats.org/officeDocument/2006/relationships/hyperlink" Target="http://100.65.83.171/ReportServer/Pages/ReportViewer.aspx?%2fgALT_V3_Reports%2fAll+Failure+Info+Export&amp;rs:Command=Render&amp;rc:Parameters=False&amp;Test_Seqno=WH125465" TargetMode="External"/><Relationship Id="rId704" Type="http://schemas.openxmlformats.org/officeDocument/2006/relationships/hyperlink" Target="http://100.65.83.171/ReportServer/Pages/ReportViewer.aspx?%2fgALT_V3_Reports%2fAll+Failure+Info+Export&amp;rs:Command=Render&amp;rc:Parameters=False&amp;Test_Seqno=WH125257" TargetMode="External"/><Relationship Id="rId40" Type="http://schemas.openxmlformats.org/officeDocument/2006/relationships/hyperlink" Target="http://100.65.83.171/ReportServer/Pages/ReportViewer.aspx?%2fgALT_V3_Reports%2fAll+Failure+Info+Export&amp;rs:Command=Render&amp;rc:Parameters=False&amp;Test_Seqno=RF133661" TargetMode="External"/><Relationship Id="rId136" Type="http://schemas.openxmlformats.org/officeDocument/2006/relationships/hyperlink" Target="http://100.65.83.171/ReportServer/Pages/ReportViewer.aspx?%2fgALT_V3_Reports%2fAll+Failure+Info+Export&amp;rs:Command=Render&amp;rc:Parameters=False&amp;Test_Seqno=WH130896" TargetMode="External"/><Relationship Id="rId343" Type="http://schemas.openxmlformats.org/officeDocument/2006/relationships/hyperlink" Target="http://reliability.mot.com/ALTV4/Reports/ALTTestReport_Functional.aspx?Test_Seqno=WH128238" TargetMode="External"/><Relationship Id="rId550" Type="http://schemas.openxmlformats.org/officeDocument/2006/relationships/hyperlink" Target="http://100.65.83.171/ReportServer/Pages/ReportViewer.aspx?%2fgALT_V3_Reports%2fAll+Failure+Info+Export&amp;rs:Command=Render&amp;rc:Parameters=False&amp;Test_Seqno=RF127110" TargetMode="External"/><Relationship Id="rId203" Type="http://schemas.openxmlformats.org/officeDocument/2006/relationships/hyperlink" Target="http://reliability.mot.com/ALTV4/Reports/ALTTestReport_Functional.aspx?Test_Seqno=WH130133" TargetMode="External"/><Relationship Id="rId648" Type="http://schemas.openxmlformats.org/officeDocument/2006/relationships/hyperlink" Target="http://100.65.83.171/ReportServer/Pages/ReportViewer.aspx?%2fgALT_V3_Reports%2fAll+Failure+Info+Export&amp;rs:Command=Render&amp;rc:Parameters=False&amp;Test_Seqno=WH126087" TargetMode="External"/><Relationship Id="rId287" Type="http://schemas.openxmlformats.org/officeDocument/2006/relationships/hyperlink" Target="http://reliability.mot.com/ALTV4/Reports/ALTTestReport_Functional.aspx?Test_Seqno=RF128648" TargetMode="External"/><Relationship Id="rId410" Type="http://schemas.openxmlformats.org/officeDocument/2006/relationships/hyperlink" Target="http://100.65.83.171/ReportServer/Pages/ReportViewer.aspx?%2fgALT_V3_Reports%2fAll+Failure+Info+Export&amp;rs:Command=Render&amp;rc:Parameters=False&amp;Test_Seqno=WH127729" TargetMode="External"/><Relationship Id="rId494" Type="http://schemas.openxmlformats.org/officeDocument/2006/relationships/hyperlink" Target="http://100.65.83.171/ReportServer/Pages/ReportViewer.aspx?%2fgALT_V3_Reports%2fAll+Failure+Info+Export&amp;rs:Command=Render&amp;rc:Parameters=False&amp;Test_Seqno=WH127663" TargetMode="External"/><Relationship Id="rId508" Type="http://schemas.openxmlformats.org/officeDocument/2006/relationships/hyperlink" Target="http://100.65.83.171/ReportServer/Pages/ReportViewer.aspx?%2fgALT_V3_Reports%2fAll+Failure+Info+Export&amp;rs:Command=Render&amp;rc:Parameters=False&amp;Test_Seqno=WH127609" TargetMode="External"/><Relationship Id="rId715" Type="http://schemas.openxmlformats.org/officeDocument/2006/relationships/hyperlink" Target="http://reliability.mot.com/ALTV4/Reports/ALTTestReport_Functional.aspx?Test_Seqno=WH125251" TargetMode="External"/><Relationship Id="rId147" Type="http://schemas.openxmlformats.org/officeDocument/2006/relationships/hyperlink" Target="http://reliability.mot.com/ALTV4/Reports/ALTTestReport_Functional.aspx?Test_Seqno=WH130717" TargetMode="External"/><Relationship Id="rId354" Type="http://schemas.openxmlformats.org/officeDocument/2006/relationships/hyperlink" Target="http://100.65.83.171/ReportServer/Pages/ReportViewer.aspx?%2fgALT_V3_Reports%2fAll+Failure+Info+Export&amp;rs:Command=Render&amp;rc:Parameters=False&amp;Test_Seqno=WH128208" TargetMode="External"/><Relationship Id="rId51" Type="http://schemas.openxmlformats.org/officeDocument/2006/relationships/hyperlink" Target="http://reliability.mot.com/ALTV4/Reports/ALTTestReport_Functional.aspx?Test_Seqno=WH133030" TargetMode="External"/><Relationship Id="rId561" Type="http://schemas.openxmlformats.org/officeDocument/2006/relationships/hyperlink" Target="http://reliability.mot.com/ALTV4/Reports/ALTTestReport_Functional.aspx?Test_Seqno=WH127039" TargetMode="External"/><Relationship Id="rId659" Type="http://schemas.openxmlformats.org/officeDocument/2006/relationships/hyperlink" Target="http://reliability.mot.com/ALTV4/Reports/ALTTestReport_Functional.aspx?Test_Seqno=WH126081" TargetMode="External"/><Relationship Id="rId214" Type="http://schemas.openxmlformats.org/officeDocument/2006/relationships/hyperlink" Target="http://100.65.83.171/ReportServer/Pages/ReportViewer.aspx?%2fgALT_V3_Reports%2fAll+Failure+Info+Export&amp;rs:Command=Render&amp;rc:Parameters=False&amp;Test_Seqno=WH129908" TargetMode="External"/><Relationship Id="rId298" Type="http://schemas.openxmlformats.org/officeDocument/2006/relationships/hyperlink" Target="http://100.65.83.171/ReportServer/Pages/ReportViewer.aspx?%2fgALT_V3_Reports%2fAll+Failure+Info+Export&amp;rs:Command=Render&amp;rc:Parameters=False&amp;Test_Seqno=WH128494" TargetMode="External"/><Relationship Id="rId421" Type="http://schemas.openxmlformats.org/officeDocument/2006/relationships/hyperlink" Target="http://reliability.mot.com/ALTV4/Reports/ALTTestReport_Functional.aspx?Test_Seqno=WH127715" TargetMode="External"/><Relationship Id="rId519" Type="http://schemas.openxmlformats.org/officeDocument/2006/relationships/hyperlink" Target="http://reliability.mot.com/ALTV4/Reports/ALTTestReport_Functional.aspx?Test_Seqno=RF127570" TargetMode="External"/><Relationship Id="rId158" Type="http://schemas.openxmlformats.org/officeDocument/2006/relationships/hyperlink" Target="http://100.65.83.171/ReportServer/Pages/ReportViewer.aspx?%2fgALT_V3_Reports%2fAll+Failure+Info+Export&amp;rs:Command=Render&amp;rc:Parameters=False&amp;Test_Seqno=RF130488" TargetMode="External"/><Relationship Id="rId726" Type="http://schemas.openxmlformats.org/officeDocument/2006/relationships/hyperlink" Target="http://100.65.83.171/ReportServer/Pages/ReportViewer.aspx?%2fgALT_V3_Reports%2fAll+Failure+Info+Export&amp;rs:Command=Render&amp;rc:Parameters=False&amp;Test_Seqno=WH125245" TargetMode="External"/><Relationship Id="rId62" Type="http://schemas.openxmlformats.org/officeDocument/2006/relationships/hyperlink" Target="http://100.65.83.171/ReportServer/Pages/ReportViewer.aspx?%2fgALT_V3_Reports%2fAll+Failure+Info+Export&amp;rs:Command=Render&amp;rc:Parameters=False&amp;Test_Seqno=WH132233" TargetMode="External"/><Relationship Id="rId365" Type="http://schemas.openxmlformats.org/officeDocument/2006/relationships/hyperlink" Target="http://reliability.mot.com/ALTV4/Reports/ALTTestReport_Functional.aspx?Test_Seqno=RF128083" TargetMode="External"/><Relationship Id="rId572" Type="http://schemas.openxmlformats.org/officeDocument/2006/relationships/hyperlink" Target="http://100.65.83.171/ReportServer/Pages/ReportViewer.aspx?%2fgALT_V3_Reports%2fAll+Failure+Info+Export&amp;rs:Command=Render&amp;rc:Parameters=False&amp;Test_Seqno=RF126928" TargetMode="External"/><Relationship Id="rId225" Type="http://schemas.openxmlformats.org/officeDocument/2006/relationships/hyperlink" Target="http://reliability.mot.com/ALTV4/Reports/ALTTestReport_Functional.aspx?Test_Seqno=WH129704" TargetMode="External"/><Relationship Id="rId432" Type="http://schemas.openxmlformats.org/officeDocument/2006/relationships/hyperlink" Target="http://100.65.83.171/ReportServer/Pages/ReportViewer.aspx?%2fgALT_V3_Reports%2fAll+Failure+Info+Export&amp;rs:Command=Render&amp;rc:Parameters=False&amp;Test_Seqno=WH127710" TargetMode="External"/><Relationship Id="rId737" Type="http://schemas.openxmlformats.org/officeDocument/2006/relationships/hyperlink" Target="http://reliability.mot.com/ALTV4/Reports/ALTTestReport_Functional.aspx?Test_Seqno=WH125239" TargetMode="External"/><Relationship Id="rId73" Type="http://schemas.openxmlformats.org/officeDocument/2006/relationships/hyperlink" Target="http://reliability.mot.com/ALTV4/Reports/ALTTestReport_Functional.aspx?Test_Seqno=WH131884" TargetMode="External"/><Relationship Id="rId169" Type="http://schemas.openxmlformats.org/officeDocument/2006/relationships/hyperlink" Target="http://reliability.mot.com/ALTV4/Reports/ALTTestReport_Functional.aspx?Test_Seqno=WH130301" TargetMode="External"/><Relationship Id="rId376" Type="http://schemas.openxmlformats.org/officeDocument/2006/relationships/hyperlink" Target="http://100.65.83.171/ReportServer/Pages/ReportViewer.aspx?%2fgALT_V3_Reports%2fAll+Failure+Info+Export&amp;rs:Command=Render&amp;rc:Parameters=False&amp;Test_Seqno=WH128070" TargetMode="External"/><Relationship Id="rId583" Type="http://schemas.openxmlformats.org/officeDocument/2006/relationships/hyperlink" Target="http://reliability.mot.com/ALTV4/Reports/ALTTestReport_Functional.aspx?Test_Seqno=WH126870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100.65.83.171/ReportServer/Pages/ReportViewer.aspx?%2fgALT_V3_Reports%2fALTFunction&amp;rs:Command=Render&amp;rc:Parameters=False&amp;Test_Seqno=WH140598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100.65.83.171/ReportServer/Pages/ReportViewer.aspx?%2fgALT_V3_Reports%2fALTFunction&amp;rs:Command=Render&amp;rc:Parameters=False&amp;Test_Seqno=WH140935" TargetMode="External"/><Relationship Id="rId13" Type="http://schemas.openxmlformats.org/officeDocument/2006/relationships/hyperlink" Target="http://100.65.83.171/ReportServer/Pages/ReportViewer.aspx?%2fgALT_V3_Reports%2fALTFunction&amp;rs:Command=Render&amp;rc:Parameters=False&amp;Test_Seqno=WH140940" TargetMode="External"/><Relationship Id="rId3" Type="http://schemas.openxmlformats.org/officeDocument/2006/relationships/hyperlink" Target="http://100.65.83.171/ReportServer/Pages/ReportViewer.aspx?%2fgALT_V3_Reports%2fALTFunction&amp;rs:Command=Render&amp;rc:Parameters=False&amp;Test_Seqno=WH140912" TargetMode="External"/><Relationship Id="rId7" Type="http://schemas.openxmlformats.org/officeDocument/2006/relationships/hyperlink" Target="http://100.65.83.171/ReportServer/Pages/ReportViewer.aspx?%2fgALT_V3_Reports%2fALTFunction&amp;rs:Command=Render&amp;rc:Parameters=False&amp;Test_Seqno=WH140934" TargetMode="External"/><Relationship Id="rId12" Type="http://schemas.openxmlformats.org/officeDocument/2006/relationships/hyperlink" Target="http://100.65.83.171/ReportServer/Pages/ReportViewer.aspx?%2fgALT_V3_Reports%2fALTFunction&amp;rs:Command=Render&amp;rc:Parameters=False&amp;Test_Seqno=WH140939" TargetMode="External"/><Relationship Id="rId2" Type="http://schemas.openxmlformats.org/officeDocument/2006/relationships/hyperlink" Target="http://100.65.83.171/ReportServer/Pages/ReportViewer.aspx?%2fgALT_V3_Reports%2fALTFunction&amp;rs:Command=Render&amp;rc:Parameters=False&amp;Test_Seqno=WH140911" TargetMode="External"/><Relationship Id="rId1" Type="http://schemas.openxmlformats.org/officeDocument/2006/relationships/hyperlink" Target="http://100.65.83.171/ReportServer/Pages/ReportViewer.aspx?%2fgALT_V3_Reports%2fALTFunction&amp;rs:Command=Render&amp;rc:Parameters=False&amp;Test_Seqno=WH140910" TargetMode="External"/><Relationship Id="rId6" Type="http://schemas.openxmlformats.org/officeDocument/2006/relationships/hyperlink" Target="http://100.65.83.171/ReportServer/Pages/ReportViewer.aspx?%2fgALT_V3_Reports%2fALTFunction&amp;rs:Command=Render&amp;rc:Parameters=False&amp;Test_Seqno=WH140933" TargetMode="External"/><Relationship Id="rId11" Type="http://schemas.openxmlformats.org/officeDocument/2006/relationships/hyperlink" Target="http://100.65.83.171/ReportServer/Pages/ReportViewer.aspx?%2fgALT_V3_Reports%2fALTFunction&amp;rs:Command=Render&amp;rc:Parameters=False&amp;Test_Seqno=WH140938" TargetMode="External"/><Relationship Id="rId5" Type="http://schemas.openxmlformats.org/officeDocument/2006/relationships/hyperlink" Target="http://100.65.83.171/ReportServer/Pages/ReportViewer.aspx?%2fgALT_V3_Reports%2fALTFunction&amp;rs:Command=Render&amp;rc:Parameters=False&amp;Test_Seqno=WH140932" TargetMode="External"/><Relationship Id="rId10" Type="http://schemas.openxmlformats.org/officeDocument/2006/relationships/hyperlink" Target="http://100.65.83.171/ReportServer/Pages/ReportViewer.aspx?%2fgALT_V3_Reports%2fALTFunction&amp;rs:Command=Render&amp;rc:Parameters=False&amp;Test_Seqno=WH140937" TargetMode="External"/><Relationship Id="rId4" Type="http://schemas.openxmlformats.org/officeDocument/2006/relationships/hyperlink" Target="http://100.65.83.171/ReportServer/Pages/ReportViewer.aspx?%2fgALT_V3_Reports%2fALTFunction&amp;rs:Command=Render&amp;rc:Parameters=False&amp;Test_Seqno=WH140931" TargetMode="External"/><Relationship Id="rId9" Type="http://schemas.openxmlformats.org/officeDocument/2006/relationships/hyperlink" Target="http://100.65.83.171/ReportServer/Pages/ReportViewer.aspx?%2fgALT_V3_Reports%2fALTFunction&amp;rs:Command=Render&amp;rc:Parameters=False&amp;Test_Seqno=WH14093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/>
  </sheetPr>
  <dimension ref="A1:C9"/>
  <sheetViews>
    <sheetView workbookViewId="0">
      <selection activeCell="E15" sqref="E15"/>
    </sheetView>
  </sheetViews>
  <sheetFormatPr defaultColWidth="13" defaultRowHeight="13.8" x14ac:dyDescent="0.5"/>
  <cols>
    <col min="1" max="1" width="12.796875" style="10" bestFit="1" customWidth="1"/>
    <col min="2" max="2" width="14.3984375" style="10" bestFit="1" customWidth="1"/>
    <col min="3" max="3" width="18.3984375" style="1" bestFit="1" customWidth="1"/>
    <col min="4" max="85" width="13" style="1" customWidth="1"/>
    <col min="86" max="16384" width="13" style="1"/>
  </cols>
  <sheetData>
    <row r="1" spans="1:3" s="10" customFormat="1" ht="14.1" customHeight="1" x14ac:dyDescent="0.5">
      <c r="A1" s="70" t="s">
        <v>0</v>
      </c>
      <c r="B1" s="70" t="s">
        <v>1</v>
      </c>
      <c r="C1" s="70" t="s">
        <v>2</v>
      </c>
    </row>
    <row r="2" spans="1:3" x14ac:dyDescent="0.5">
      <c r="A2" s="90">
        <v>5527</v>
      </c>
      <c r="B2" s="90" t="s">
        <v>3</v>
      </c>
      <c r="C2" s="71" t="s">
        <v>4</v>
      </c>
    </row>
    <row r="3" spans="1:3" x14ac:dyDescent="0.5">
      <c r="A3" s="90">
        <v>5528</v>
      </c>
      <c r="B3" s="90" t="s">
        <v>5</v>
      </c>
      <c r="C3" s="71" t="s">
        <v>6</v>
      </c>
    </row>
    <row r="4" spans="1:3" x14ac:dyDescent="0.5">
      <c r="A4" s="90">
        <v>5529</v>
      </c>
      <c r="B4" s="90" t="s">
        <v>7</v>
      </c>
      <c r="C4" s="71" t="s">
        <v>8</v>
      </c>
    </row>
    <row r="5" spans="1:3" x14ac:dyDescent="0.5">
      <c r="A5" s="90">
        <v>5530</v>
      </c>
      <c r="B5" s="90" t="s">
        <v>9</v>
      </c>
      <c r="C5" s="71" t="s">
        <v>10</v>
      </c>
    </row>
    <row r="6" spans="1:3" x14ac:dyDescent="0.5">
      <c r="A6" s="91"/>
      <c r="B6" s="91"/>
      <c r="C6" s="72"/>
    </row>
    <row r="7" spans="1:3" x14ac:dyDescent="0.5">
      <c r="A7" s="91"/>
      <c r="B7" s="91"/>
      <c r="C7" s="72"/>
    </row>
    <row r="8" spans="1:3" x14ac:dyDescent="0.5">
      <c r="A8" s="91"/>
      <c r="B8" s="91"/>
      <c r="C8" s="72"/>
    </row>
    <row r="9" spans="1:3" x14ac:dyDescent="0.5">
      <c r="A9" s="91"/>
      <c r="B9" s="91"/>
      <c r="C9" s="72"/>
    </row>
  </sheetData>
  <phoneticPr fontId="32" type="noConversion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AB61"/>
  <sheetViews>
    <sheetView showGridLines="0" zoomScaleNormal="100" workbookViewId="0">
      <selection activeCell="K60" sqref="K60"/>
    </sheetView>
  </sheetViews>
  <sheetFormatPr defaultColWidth="0" defaultRowHeight="0" customHeight="1" zeroHeight="1" outlineLevelCol="7" x14ac:dyDescent="0.5"/>
  <cols>
    <col min="1" max="1" width="21.546875" style="166" customWidth="1"/>
    <col min="2" max="2" width="14.046875" style="166" customWidth="1"/>
    <col min="3" max="3" width="0.44921875" style="166" customWidth="1"/>
    <col min="4" max="4" width="5.34765625" style="101" customWidth="1" outlineLevel="7"/>
    <col min="5" max="5" width="6.046875" style="101" customWidth="1" outlineLevel="7"/>
    <col min="6" max="6" width="3.546875" style="166" customWidth="1" outlineLevel="7"/>
    <col min="7" max="7" width="5.34765625" style="69" customWidth="1" outlineLevel="6"/>
    <col min="8" max="8" width="9.546875" style="101" customWidth="1" outlineLevel="7"/>
    <col min="9" max="9" width="33.546875" style="103" customWidth="1" outlineLevel="6"/>
    <col min="10" max="10" width="3.546875" style="166" customWidth="1" outlineLevel="6"/>
    <col min="11" max="11" width="18.546875" style="69" customWidth="1" outlineLevel="6"/>
    <col min="12" max="12" width="0.44921875" style="166" customWidth="1" outlineLevel="6"/>
    <col min="13" max="13" width="5.59765625" style="101" bestFit="1" customWidth="1" outlineLevel="7"/>
    <col min="14" max="14" width="3.3984375" style="166" bestFit="1" customWidth="1" outlineLevel="7"/>
    <col min="15" max="15" width="5.34765625" style="69" customWidth="1" outlineLevel="6"/>
    <col min="16" max="16" width="9.546875" style="101" customWidth="1" outlineLevel="7"/>
    <col min="17" max="17" width="28.546875" style="103" customWidth="1" outlineLevel="6"/>
    <col min="18" max="18" width="3.19921875" style="166" bestFit="1" customWidth="1" outlineLevel="6"/>
    <col min="19" max="19" width="18.546875" style="166" customWidth="1" outlineLevel="6"/>
    <col min="20" max="20" width="0.44921875" style="166" customWidth="1" outlineLevel="6"/>
    <col min="21" max="28" width="13" style="166" hidden="1" customWidth="1"/>
    <col min="29" max="154" width="15.3984375" style="166" hidden="1" customWidth="1"/>
    <col min="155" max="16384" width="15.3984375" style="166" hidden="1"/>
  </cols>
  <sheetData>
    <row r="1" spans="1:20" ht="12" customHeight="1" x14ac:dyDescent="0.5">
      <c r="A1" s="107" t="s">
        <v>11</v>
      </c>
      <c r="B1" s="65"/>
      <c r="C1" s="92"/>
      <c r="D1" s="44" t="s">
        <v>12</v>
      </c>
      <c r="E1" s="45" t="s">
        <v>13</v>
      </c>
      <c r="F1" s="45" t="s">
        <v>14</v>
      </c>
      <c r="G1" s="46" t="s">
        <v>15</v>
      </c>
      <c r="H1" s="45" t="s">
        <v>16</v>
      </c>
      <c r="I1" s="81" t="s">
        <v>17</v>
      </c>
      <c r="J1" s="45" t="s">
        <v>18</v>
      </c>
      <c r="K1" s="47" t="s">
        <v>19</v>
      </c>
      <c r="L1" s="45"/>
      <c r="M1" s="44" t="s">
        <v>12</v>
      </c>
      <c r="N1" s="45" t="s">
        <v>14</v>
      </c>
      <c r="O1" s="46" t="s">
        <v>15</v>
      </c>
      <c r="P1" s="45" t="s">
        <v>16</v>
      </c>
      <c r="Q1" s="81" t="s">
        <v>17</v>
      </c>
      <c r="R1" s="45" t="s">
        <v>18</v>
      </c>
      <c r="S1" s="48" t="s">
        <v>19</v>
      </c>
      <c r="T1" s="15"/>
    </row>
    <row r="2" spans="1:20" ht="12" customHeight="1" x14ac:dyDescent="0.5">
      <c r="A2" s="18" t="s">
        <v>20</v>
      </c>
      <c r="B2" s="37" t="s">
        <v>21</v>
      </c>
      <c r="C2" s="93"/>
      <c r="D2" s="98" t="s">
        <v>22</v>
      </c>
      <c r="E2" s="29" t="s">
        <v>23</v>
      </c>
      <c r="F2" s="30">
        <v>16</v>
      </c>
      <c r="G2" s="28" t="s">
        <v>24</v>
      </c>
      <c r="H2" s="49" t="s">
        <v>25</v>
      </c>
      <c r="I2" s="60" t="s">
        <v>26</v>
      </c>
      <c r="J2" s="51">
        <v>16</v>
      </c>
      <c r="K2" s="40" t="s">
        <v>27</v>
      </c>
      <c r="L2" s="52"/>
      <c r="M2" s="98" t="s">
        <v>22</v>
      </c>
      <c r="N2" s="42">
        <v>2</v>
      </c>
      <c r="O2" s="28" t="s">
        <v>24</v>
      </c>
      <c r="P2" s="53" t="s">
        <v>28</v>
      </c>
      <c r="Q2" s="88" t="s">
        <v>29</v>
      </c>
      <c r="R2" s="51">
        <v>2</v>
      </c>
      <c r="S2" s="40" t="s">
        <v>27</v>
      </c>
      <c r="T2" s="16"/>
    </row>
    <row r="3" spans="1:20" ht="12" customHeight="1" x14ac:dyDescent="0.5">
      <c r="A3" s="18" t="s">
        <v>30</v>
      </c>
      <c r="B3" s="38">
        <v>5527</v>
      </c>
      <c r="C3" s="93"/>
      <c r="D3" s="99" t="s">
        <v>22</v>
      </c>
      <c r="E3" s="32" t="s">
        <v>31</v>
      </c>
      <c r="F3" s="33">
        <v>4</v>
      </c>
      <c r="G3" s="31" t="s">
        <v>32</v>
      </c>
      <c r="H3" s="49" t="s">
        <v>33</v>
      </c>
      <c r="I3" s="60" t="s">
        <v>34</v>
      </c>
      <c r="J3" s="54">
        <v>4</v>
      </c>
      <c r="K3" s="40" t="s">
        <v>27</v>
      </c>
      <c r="L3" s="52"/>
      <c r="M3" s="99" t="s">
        <v>22</v>
      </c>
      <c r="N3" s="43">
        <v>2</v>
      </c>
      <c r="O3" s="31" t="s">
        <v>24</v>
      </c>
      <c r="P3" s="55" t="s">
        <v>35</v>
      </c>
      <c r="Q3" s="61" t="s">
        <v>36</v>
      </c>
      <c r="R3" s="54">
        <v>2</v>
      </c>
      <c r="S3" s="40" t="s">
        <v>27</v>
      </c>
      <c r="T3" s="16"/>
    </row>
    <row r="4" spans="1:20" ht="12" customHeight="1" x14ac:dyDescent="0.5">
      <c r="A4" s="18" t="s">
        <v>37</v>
      </c>
      <c r="B4" s="26" t="str">
        <f>VLOOKUP(B3,Product!A:C,3,FALSE)</f>
        <v>BerlinNA21 Sub6 SS</v>
      </c>
      <c r="C4" s="16"/>
      <c r="D4" s="99" t="s">
        <v>22</v>
      </c>
      <c r="E4" s="32" t="s">
        <v>31</v>
      </c>
      <c r="F4" s="33">
        <v>4</v>
      </c>
      <c r="G4" s="31" t="s">
        <v>32</v>
      </c>
      <c r="H4" s="49" t="s">
        <v>38</v>
      </c>
      <c r="I4" s="60" t="s">
        <v>39</v>
      </c>
      <c r="J4" s="54">
        <v>4</v>
      </c>
      <c r="K4" s="40" t="s">
        <v>27</v>
      </c>
      <c r="L4" s="52"/>
      <c r="M4" s="99" t="s">
        <v>22</v>
      </c>
      <c r="N4" s="43">
        <v>2</v>
      </c>
      <c r="O4" s="31" t="s">
        <v>24</v>
      </c>
      <c r="P4" s="55" t="s">
        <v>40</v>
      </c>
      <c r="Q4" s="61" t="s">
        <v>41</v>
      </c>
      <c r="R4" s="54">
        <v>2</v>
      </c>
      <c r="S4" s="40" t="s">
        <v>27</v>
      </c>
      <c r="T4" s="16"/>
    </row>
    <row r="5" spans="1:20" ht="12" customHeight="1" x14ac:dyDescent="0.5">
      <c r="A5" s="18" t="s">
        <v>42</v>
      </c>
      <c r="B5" s="37" t="s">
        <v>43</v>
      </c>
      <c r="C5" s="93"/>
      <c r="D5" s="99" t="s">
        <v>22</v>
      </c>
      <c r="E5" s="32" t="s">
        <v>31</v>
      </c>
      <c r="F5" s="33">
        <v>4</v>
      </c>
      <c r="G5" s="31" t="s">
        <v>24</v>
      </c>
      <c r="H5" s="49" t="s">
        <v>44</v>
      </c>
      <c r="I5" s="60" t="s">
        <v>45</v>
      </c>
      <c r="J5" s="54">
        <v>4</v>
      </c>
      <c r="K5" s="40" t="s">
        <v>27</v>
      </c>
      <c r="L5" s="52"/>
      <c r="M5" s="99" t="s">
        <v>22</v>
      </c>
      <c r="N5" s="43">
        <v>2</v>
      </c>
      <c r="O5" s="31" t="s">
        <v>32</v>
      </c>
      <c r="P5" s="55" t="s">
        <v>46</v>
      </c>
      <c r="Q5" s="61" t="s">
        <v>47</v>
      </c>
      <c r="R5" s="54">
        <v>2</v>
      </c>
      <c r="S5" s="40" t="s">
        <v>27</v>
      </c>
      <c r="T5" s="16"/>
    </row>
    <row r="6" spans="1:20" ht="12" customHeight="1" x14ac:dyDescent="0.5">
      <c r="A6" s="18" t="s">
        <v>48</v>
      </c>
      <c r="B6" s="37" t="s">
        <v>49</v>
      </c>
      <c r="C6" s="93"/>
      <c r="D6" s="99" t="s">
        <v>22</v>
      </c>
      <c r="E6" s="32" t="s">
        <v>31</v>
      </c>
      <c r="F6" s="33">
        <v>4</v>
      </c>
      <c r="G6" s="31" t="s">
        <v>24</v>
      </c>
      <c r="H6" s="49" t="s">
        <v>50</v>
      </c>
      <c r="I6" s="60" t="s">
        <v>51</v>
      </c>
      <c r="J6" s="54">
        <v>4</v>
      </c>
      <c r="K6" s="40" t="s">
        <v>27</v>
      </c>
      <c r="L6" s="52"/>
      <c r="M6" s="99" t="s">
        <v>22</v>
      </c>
      <c r="N6" s="43">
        <v>2</v>
      </c>
      <c r="O6" s="31" t="s">
        <v>32</v>
      </c>
      <c r="P6" s="55" t="s">
        <v>52</v>
      </c>
      <c r="Q6" s="61" t="s">
        <v>53</v>
      </c>
      <c r="R6" s="54">
        <v>2</v>
      </c>
      <c r="S6" s="40" t="s">
        <v>27</v>
      </c>
      <c r="T6" s="16"/>
    </row>
    <row r="7" spans="1:20" ht="12" customHeight="1" x14ac:dyDescent="0.5">
      <c r="A7" s="177" t="s">
        <v>54</v>
      </c>
      <c r="B7" s="178"/>
      <c r="C7" s="16"/>
      <c r="D7" s="99" t="s">
        <v>22</v>
      </c>
      <c r="E7" s="32" t="s">
        <v>31</v>
      </c>
      <c r="F7" s="33">
        <v>4</v>
      </c>
      <c r="G7" s="31" t="s">
        <v>24</v>
      </c>
      <c r="H7" s="49" t="s">
        <v>55</v>
      </c>
      <c r="I7" s="60" t="s">
        <v>56</v>
      </c>
      <c r="J7" s="54">
        <v>4</v>
      </c>
      <c r="K7" s="40" t="s">
        <v>27</v>
      </c>
      <c r="L7" s="52"/>
      <c r="M7" s="99" t="s">
        <v>22</v>
      </c>
      <c r="N7" s="43">
        <v>2</v>
      </c>
      <c r="O7" s="31" t="s">
        <v>32</v>
      </c>
      <c r="P7" s="55" t="s">
        <v>57</v>
      </c>
      <c r="Q7" s="61" t="s">
        <v>58</v>
      </c>
      <c r="R7" s="54">
        <v>2</v>
      </c>
      <c r="S7" s="40" t="s">
        <v>27</v>
      </c>
      <c r="T7" s="16"/>
    </row>
    <row r="8" spans="1:20" ht="12" customHeight="1" x14ac:dyDescent="0.5">
      <c r="A8" s="20" t="s">
        <v>59</v>
      </c>
      <c r="B8" s="21"/>
      <c r="C8" s="94"/>
      <c r="D8" s="99" t="s">
        <v>22</v>
      </c>
      <c r="E8" s="32" t="s">
        <v>31</v>
      </c>
      <c r="F8" s="33">
        <v>8</v>
      </c>
      <c r="G8" s="31" t="s">
        <v>24</v>
      </c>
      <c r="H8" s="49" t="s">
        <v>60</v>
      </c>
      <c r="I8" s="60" t="s">
        <v>61</v>
      </c>
      <c r="J8" s="54">
        <v>8</v>
      </c>
      <c r="K8" s="40" t="s">
        <v>27</v>
      </c>
      <c r="L8" s="52"/>
      <c r="M8" s="99" t="s">
        <v>22</v>
      </c>
      <c r="N8" s="43">
        <v>2</v>
      </c>
      <c r="O8" s="31" t="s">
        <v>32</v>
      </c>
      <c r="P8" s="55" t="s">
        <v>62</v>
      </c>
      <c r="Q8" s="61" t="s">
        <v>63</v>
      </c>
      <c r="R8" s="54">
        <v>2</v>
      </c>
      <c r="S8" s="40" t="s">
        <v>27</v>
      </c>
      <c r="T8" s="16"/>
    </row>
    <row r="9" spans="1:20" ht="12" customHeight="1" x14ac:dyDescent="0.5">
      <c r="A9" s="18" t="s">
        <v>64</v>
      </c>
      <c r="B9" s="37" t="s">
        <v>65</v>
      </c>
      <c r="C9" s="93"/>
      <c r="D9" s="99" t="s">
        <v>22</v>
      </c>
      <c r="E9" s="32" t="s">
        <v>31</v>
      </c>
      <c r="F9" s="33">
        <v>9</v>
      </c>
      <c r="G9" s="31" t="s">
        <v>24</v>
      </c>
      <c r="H9" s="49" t="s">
        <v>66</v>
      </c>
      <c r="I9" s="60" t="s">
        <v>67</v>
      </c>
      <c r="J9" s="54">
        <v>9</v>
      </c>
      <c r="K9" s="40" t="s">
        <v>27</v>
      </c>
      <c r="L9" s="52"/>
      <c r="M9" s="99" t="s">
        <v>22</v>
      </c>
      <c r="N9" s="43">
        <v>2</v>
      </c>
      <c r="O9" s="31" t="s">
        <v>24</v>
      </c>
      <c r="P9" s="55" t="s">
        <v>68</v>
      </c>
      <c r="Q9" s="61" t="s">
        <v>69</v>
      </c>
      <c r="R9" s="54">
        <v>2</v>
      </c>
      <c r="S9" s="40" t="s">
        <v>27</v>
      </c>
      <c r="T9" s="16"/>
    </row>
    <row r="10" spans="1:20" ht="12" customHeight="1" x14ac:dyDescent="0.5">
      <c r="A10" s="18" t="s">
        <v>70</v>
      </c>
      <c r="B10" s="37" t="s">
        <v>65</v>
      </c>
      <c r="C10" s="93"/>
      <c r="D10" s="99" t="s">
        <v>22</v>
      </c>
      <c r="E10" s="32" t="s">
        <v>31</v>
      </c>
      <c r="F10" s="33">
        <v>3</v>
      </c>
      <c r="G10" s="31" t="s">
        <v>24</v>
      </c>
      <c r="H10" s="49" t="s">
        <v>71</v>
      </c>
      <c r="I10" s="60" t="s">
        <v>72</v>
      </c>
      <c r="J10" s="54">
        <v>3</v>
      </c>
      <c r="K10" s="40" t="s">
        <v>27</v>
      </c>
      <c r="L10" s="52"/>
      <c r="M10" s="99" t="s">
        <v>22</v>
      </c>
      <c r="N10" s="43">
        <v>2</v>
      </c>
      <c r="O10" s="31" t="s">
        <v>24</v>
      </c>
      <c r="P10" s="55" t="s">
        <v>73</v>
      </c>
      <c r="Q10" s="61" t="s">
        <v>74</v>
      </c>
      <c r="R10" s="54">
        <v>2</v>
      </c>
      <c r="S10" s="40" t="s">
        <v>27</v>
      </c>
      <c r="T10" s="16"/>
    </row>
    <row r="11" spans="1:20" ht="12" customHeight="1" x14ac:dyDescent="0.5">
      <c r="A11" s="177" t="s">
        <v>75</v>
      </c>
      <c r="B11" s="178"/>
      <c r="C11" s="16"/>
      <c r="D11" s="99" t="s">
        <v>22</v>
      </c>
      <c r="E11" s="32" t="s">
        <v>31</v>
      </c>
      <c r="F11" s="33">
        <v>2</v>
      </c>
      <c r="G11" s="31" t="s">
        <v>24</v>
      </c>
      <c r="H11" s="49" t="s">
        <v>76</v>
      </c>
      <c r="I11" s="60" t="s">
        <v>77</v>
      </c>
      <c r="J11" s="54">
        <v>2</v>
      </c>
      <c r="K11" s="40" t="s">
        <v>27</v>
      </c>
      <c r="L11" s="52"/>
      <c r="M11" s="99" t="s">
        <v>22</v>
      </c>
      <c r="N11" s="43">
        <v>2</v>
      </c>
      <c r="O11" s="31" t="s">
        <v>32</v>
      </c>
      <c r="P11" s="55" t="s">
        <v>78</v>
      </c>
      <c r="Q11" s="61" t="s">
        <v>79</v>
      </c>
      <c r="R11" s="54">
        <v>2</v>
      </c>
      <c r="S11" s="40" t="s">
        <v>27</v>
      </c>
      <c r="T11" s="16"/>
    </row>
    <row r="12" spans="1:20" ht="12" customHeight="1" x14ac:dyDescent="0.5">
      <c r="A12" s="18" t="s">
        <v>80</v>
      </c>
      <c r="B12" s="37" t="s">
        <v>81</v>
      </c>
      <c r="C12" s="93"/>
      <c r="D12" s="99" t="s">
        <v>22</v>
      </c>
      <c r="E12" s="32" t="s">
        <v>31</v>
      </c>
      <c r="F12" s="33">
        <v>4</v>
      </c>
      <c r="G12" s="31" t="s">
        <v>24</v>
      </c>
      <c r="H12" s="49" t="s">
        <v>82</v>
      </c>
      <c r="I12" s="60" t="s">
        <v>83</v>
      </c>
      <c r="J12" s="54">
        <v>4</v>
      </c>
      <c r="K12" s="40" t="s">
        <v>27</v>
      </c>
      <c r="L12" s="52"/>
      <c r="M12" s="99" t="s">
        <v>22</v>
      </c>
      <c r="N12" s="43">
        <v>2</v>
      </c>
      <c r="O12" s="31" t="s">
        <v>24</v>
      </c>
      <c r="P12" s="55" t="s">
        <v>84</v>
      </c>
      <c r="Q12" s="61" t="s">
        <v>85</v>
      </c>
      <c r="R12" s="54">
        <v>2</v>
      </c>
      <c r="S12" s="40" t="s">
        <v>27</v>
      </c>
      <c r="T12" s="16"/>
    </row>
    <row r="13" spans="1:20" ht="12" customHeight="1" x14ac:dyDescent="0.5">
      <c r="A13" s="18" t="s">
        <v>86</v>
      </c>
      <c r="B13" s="37" t="s">
        <v>87</v>
      </c>
      <c r="C13" s="93"/>
      <c r="D13" s="99" t="s">
        <v>22</v>
      </c>
      <c r="E13" s="32" t="s">
        <v>31</v>
      </c>
      <c r="F13" s="33">
        <v>4</v>
      </c>
      <c r="G13" s="31" t="s">
        <v>24</v>
      </c>
      <c r="H13" s="49" t="s">
        <v>88</v>
      </c>
      <c r="I13" s="60" t="s">
        <v>89</v>
      </c>
      <c r="J13" s="54">
        <v>4</v>
      </c>
      <c r="K13" s="40" t="s">
        <v>27</v>
      </c>
      <c r="L13" s="52"/>
      <c r="M13" s="99" t="s">
        <v>22</v>
      </c>
      <c r="N13" s="43">
        <v>10</v>
      </c>
      <c r="O13" s="31" t="s">
        <v>24</v>
      </c>
      <c r="P13" s="55" t="s">
        <v>90</v>
      </c>
      <c r="Q13" s="61" t="s">
        <v>91</v>
      </c>
      <c r="R13" s="54">
        <v>10</v>
      </c>
      <c r="S13" s="40" t="s">
        <v>27</v>
      </c>
      <c r="T13" s="16"/>
    </row>
    <row r="14" spans="1:20" ht="12" customHeight="1" x14ac:dyDescent="0.5">
      <c r="A14" s="18" t="s">
        <v>92</v>
      </c>
      <c r="B14" s="37" t="s">
        <v>93</v>
      </c>
      <c r="C14" s="93"/>
      <c r="D14" s="99" t="s">
        <v>22</v>
      </c>
      <c r="E14" s="32" t="s">
        <v>31</v>
      </c>
      <c r="F14" s="33">
        <v>2</v>
      </c>
      <c r="G14" s="31" t="s">
        <v>24</v>
      </c>
      <c r="H14" s="49" t="s">
        <v>94</v>
      </c>
      <c r="I14" s="60" t="s">
        <v>95</v>
      </c>
      <c r="J14" s="54">
        <v>2</v>
      </c>
      <c r="K14" s="40" t="s">
        <v>27</v>
      </c>
      <c r="L14" s="52"/>
      <c r="M14" s="99" t="s">
        <v>22</v>
      </c>
      <c r="N14" s="43">
        <v>10</v>
      </c>
      <c r="O14" s="31" t="s">
        <v>24</v>
      </c>
      <c r="P14" s="55" t="s">
        <v>96</v>
      </c>
      <c r="Q14" s="61" t="s">
        <v>97</v>
      </c>
      <c r="R14" s="54">
        <v>10</v>
      </c>
      <c r="S14" s="40" t="s">
        <v>27</v>
      </c>
      <c r="T14" s="16"/>
    </row>
    <row r="15" spans="1:20" ht="12" customHeight="1" x14ac:dyDescent="0.5">
      <c r="A15" s="18" t="s">
        <v>98</v>
      </c>
      <c r="B15" s="37" t="s">
        <v>99</v>
      </c>
      <c r="C15" s="93"/>
      <c r="D15" s="99" t="s">
        <v>22</v>
      </c>
      <c r="E15" s="32" t="s">
        <v>31</v>
      </c>
      <c r="F15" s="33">
        <v>4</v>
      </c>
      <c r="G15" s="31" t="s">
        <v>32</v>
      </c>
      <c r="H15" s="49" t="s">
        <v>100</v>
      </c>
      <c r="I15" s="60" t="s">
        <v>101</v>
      </c>
      <c r="J15" s="54">
        <v>4</v>
      </c>
      <c r="K15" s="40" t="s">
        <v>27</v>
      </c>
      <c r="L15" s="52"/>
      <c r="M15" s="99" t="s">
        <v>22</v>
      </c>
      <c r="N15" s="43">
        <v>2</v>
      </c>
      <c r="O15" s="31" t="s">
        <v>24</v>
      </c>
      <c r="P15" s="55" t="s">
        <v>102</v>
      </c>
      <c r="Q15" s="61" t="s">
        <v>103</v>
      </c>
      <c r="R15" s="54">
        <v>2</v>
      </c>
      <c r="S15" s="40" t="s">
        <v>27</v>
      </c>
      <c r="T15" s="16"/>
    </row>
    <row r="16" spans="1:20" ht="12" customHeight="1" x14ac:dyDescent="0.5">
      <c r="A16" s="179" t="s">
        <v>104</v>
      </c>
      <c r="B16" s="180"/>
      <c r="C16" s="95"/>
      <c r="D16" s="99" t="s">
        <v>22</v>
      </c>
      <c r="E16" s="32" t="s">
        <v>31</v>
      </c>
      <c r="F16" s="33">
        <v>3</v>
      </c>
      <c r="G16" s="31" t="s">
        <v>24</v>
      </c>
      <c r="H16" s="49" t="s">
        <v>105</v>
      </c>
      <c r="I16" s="60" t="s">
        <v>106</v>
      </c>
      <c r="J16" s="54">
        <v>3</v>
      </c>
      <c r="K16" s="40" t="s">
        <v>27</v>
      </c>
      <c r="L16" s="52"/>
      <c r="M16" s="99" t="s">
        <v>22</v>
      </c>
      <c r="N16" s="43">
        <v>2</v>
      </c>
      <c r="O16" s="31" t="s">
        <v>24</v>
      </c>
      <c r="P16" s="55" t="s">
        <v>107</v>
      </c>
      <c r="Q16" s="61" t="s">
        <v>108</v>
      </c>
      <c r="R16" s="54">
        <v>2</v>
      </c>
      <c r="S16" s="40" t="s">
        <v>27</v>
      </c>
      <c r="T16" s="16"/>
    </row>
    <row r="17" spans="1:20" ht="12" customHeight="1" x14ac:dyDescent="0.5">
      <c r="A17" s="22" t="s">
        <v>109</v>
      </c>
      <c r="B17" s="39" t="s">
        <v>110</v>
      </c>
      <c r="C17" s="96"/>
      <c r="D17" s="99" t="s">
        <v>22</v>
      </c>
      <c r="E17" s="32" t="s">
        <v>31</v>
      </c>
      <c r="F17" s="33">
        <v>4</v>
      </c>
      <c r="G17" s="31" t="s">
        <v>24</v>
      </c>
      <c r="H17" s="49" t="s">
        <v>111</v>
      </c>
      <c r="I17" s="60" t="s">
        <v>112</v>
      </c>
      <c r="J17" s="54">
        <v>4</v>
      </c>
      <c r="K17" s="40" t="s">
        <v>27</v>
      </c>
      <c r="L17" s="52"/>
      <c r="M17" s="99" t="s">
        <v>22</v>
      </c>
      <c r="N17" s="43">
        <v>2</v>
      </c>
      <c r="O17" s="31" t="s">
        <v>24</v>
      </c>
      <c r="P17" s="55" t="s">
        <v>113</v>
      </c>
      <c r="Q17" s="61" t="s">
        <v>114</v>
      </c>
      <c r="R17" s="54">
        <v>2</v>
      </c>
      <c r="S17" s="40" t="s">
        <v>27</v>
      </c>
      <c r="T17" s="16"/>
    </row>
    <row r="18" spans="1:20" ht="12" customHeight="1" x14ac:dyDescent="0.5">
      <c r="A18" s="18" t="s">
        <v>115</v>
      </c>
      <c r="B18" s="39" t="s">
        <v>116</v>
      </c>
      <c r="C18" s="96"/>
      <c r="D18" s="99" t="s">
        <v>22</v>
      </c>
      <c r="E18" s="32" t="s">
        <v>31</v>
      </c>
      <c r="F18" s="33">
        <v>4</v>
      </c>
      <c r="G18" s="31" t="s">
        <v>24</v>
      </c>
      <c r="H18" s="49" t="s">
        <v>117</v>
      </c>
      <c r="I18" s="60" t="s">
        <v>118</v>
      </c>
      <c r="J18" s="54">
        <v>4</v>
      </c>
      <c r="K18" s="40" t="s">
        <v>27</v>
      </c>
      <c r="L18" s="52"/>
      <c r="M18" s="99" t="s">
        <v>22</v>
      </c>
      <c r="N18" s="43">
        <v>2</v>
      </c>
      <c r="O18" s="31" t="s">
        <v>32</v>
      </c>
      <c r="P18" s="55" t="s">
        <v>119</v>
      </c>
      <c r="Q18" s="61" t="s">
        <v>120</v>
      </c>
      <c r="R18" s="54">
        <v>2</v>
      </c>
      <c r="S18" s="40" t="s">
        <v>27</v>
      </c>
      <c r="T18" s="16"/>
    </row>
    <row r="19" spans="1:20" ht="12" customHeight="1" x14ac:dyDescent="0.5">
      <c r="A19" s="18" t="s">
        <v>121</v>
      </c>
      <c r="B19" s="173">
        <v>44383</v>
      </c>
      <c r="C19" s="174"/>
      <c r="D19" s="99" t="s">
        <v>22</v>
      </c>
      <c r="E19" s="32" t="s">
        <v>31</v>
      </c>
      <c r="F19" s="33">
        <v>6</v>
      </c>
      <c r="G19" s="31" t="s">
        <v>24</v>
      </c>
      <c r="H19" s="49" t="s">
        <v>122</v>
      </c>
      <c r="I19" s="60" t="s">
        <v>123</v>
      </c>
      <c r="J19" s="54">
        <v>6</v>
      </c>
      <c r="K19" s="40" t="s">
        <v>27</v>
      </c>
      <c r="L19" s="52"/>
      <c r="M19" s="99" t="s">
        <v>22</v>
      </c>
      <c r="N19" s="43">
        <v>2</v>
      </c>
      <c r="O19" s="31" t="s">
        <v>32</v>
      </c>
      <c r="P19" s="55" t="s">
        <v>124</v>
      </c>
      <c r="Q19" s="61" t="s">
        <v>125</v>
      </c>
      <c r="R19" s="54">
        <v>2</v>
      </c>
      <c r="S19" s="40" t="s">
        <v>27</v>
      </c>
      <c r="T19" s="16"/>
    </row>
    <row r="20" spans="1:20" ht="12" customHeight="1" x14ac:dyDescent="0.5">
      <c r="A20" s="18" t="s">
        <v>126</v>
      </c>
      <c r="B20" s="39">
        <v>0</v>
      </c>
      <c r="C20" s="96"/>
      <c r="D20" s="99" t="s">
        <v>22</v>
      </c>
      <c r="E20" s="32" t="s">
        <v>31</v>
      </c>
      <c r="F20" s="33">
        <v>4</v>
      </c>
      <c r="G20" s="31" t="s">
        <v>32</v>
      </c>
      <c r="H20" s="49" t="s">
        <v>127</v>
      </c>
      <c r="I20" s="60" t="s">
        <v>128</v>
      </c>
      <c r="J20" s="54">
        <v>4</v>
      </c>
      <c r="K20" s="40" t="s">
        <v>27</v>
      </c>
      <c r="L20" s="52"/>
      <c r="M20" s="99" t="s">
        <v>22</v>
      </c>
      <c r="N20" s="43">
        <v>2</v>
      </c>
      <c r="O20" s="31" t="s">
        <v>24</v>
      </c>
      <c r="P20" s="55" t="s">
        <v>129</v>
      </c>
      <c r="Q20" s="61" t="s">
        <v>130</v>
      </c>
      <c r="R20" s="54">
        <v>2</v>
      </c>
      <c r="S20" s="40" t="s">
        <v>27</v>
      </c>
      <c r="T20" s="16"/>
    </row>
    <row r="21" spans="1:20" ht="12" customHeight="1" x14ac:dyDescent="0.5">
      <c r="A21" s="66"/>
      <c r="B21" s="26"/>
      <c r="C21" s="16"/>
      <c r="D21" s="99" t="s">
        <v>22</v>
      </c>
      <c r="E21" s="32" t="s">
        <v>31</v>
      </c>
      <c r="F21" s="33">
        <v>4</v>
      </c>
      <c r="G21" s="31" t="s">
        <v>24</v>
      </c>
      <c r="H21" s="49" t="s">
        <v>131</v>
      </c>
      <c r="I21" s="60" t="s">
        <v>132</v>
      </c>
      <c r="J21" s="54">
        <v>4</v>
      </c>
      <c r="K21" s="40" t="s">
        <v>27</v>
      </c>
      <c r="L21" s="52"/>
      <c r="M21" s="99" t="s">
        <v>22</v>
      </c>
      <c r="N21" s="43">
        <v>2</v>
      </c>
      <c r="O21" s="31" t="s">
        <v>24</v>
      </c>
      <c r="P21" s="55" t="s">
        <v>133</v>
      </c>
      <c r="Q21" s="61" t="s">
        <v>134</v>
      </c>
      <c r="R21" s="54">
        <v>2</v>
      </c>
      <c r="S21" s="40" t="s">
        <v>27</v>
      </c>
      <c r="T21" s="16"/>
    </row>
    <row r="22" spans="1:20" ht="12" customHeight="1" x14ac:dyDescent="0.5">
      <c r="A22" s="73" t="s">
        <v>135</v>
      </c>
      <c r="B22" s="64">
        <f>COUNTIF(D2:D61,"Y")+COUNTIF(M2:M50,"Y")</f>
        <v>3</v>
      </c>
      <c r="C22" s="97"/>
      <c r="D22" s="99" t="s">
        <v>22</v>
      </c>
      <c r="E22" s="32" t="s">
        <v>31</v>
      </c>
      <c r="F22" s="33">
        <v>2</v>
      </c>
      <c r="G22" s="31" t="s">
        <v>24</v>
      </c>
      <c r="H22" s="49" t="s">
        <v>136</v>
      </c>
      <c r="I22" s="60" t="s">
        <v>137</v>
      </c>
      <c r="J22" s="54">
        <v>2</v>
      </c>
      <c r="K22" s="40" t="s">
        <v>27</v>
      </c>
      <c r="L22" s="52"/>
      <c r="M22" s="99" t="s">
        <v>22</v>
      </c>
      <c r="N22" s="43">
        <v>15</v>
      </c>
      <c r="O22" s="31" t="s">
        <v>24</v>
      </c>
      <c r="P22" s="55" t="s">
        <v>138</v>
      </c>
      <c r="Q22" s="61" t="s">
        <v>139</v>
      </c>
      <c r="R22" s="54">
        <v>15</v>
      </c>
      <c r="S22" s="40" t="s">
        <v>27</v>
      </c>
      <c r="T22" s="16"/>
    </row>
    <row r="23" spans="1:20" ht="12" customHeight="1" x14ac:dyDescent="0.5">
      <c r="A23" s="73" t="s">
        <v>140</v>
      </c>
      <c r="B23" s="64">
        <f>SUMIFS(F2:F61, D2:D61, "Y", G2:G61,"New")+SUMIFS(N2:N50, M2:M50, "Y", O2:O50,"New")</f>
        <v>0</v>
      </c>
      <c r="C23" s="97"/>
      <c r="D23" s="99" t="s">
        <v>22</v>
      </c>
      <c r="E23" s="32" t="s">
        <v>31</v>
      </c>
      <c r="F23" s="33">
        <v>2</v>
      </c>
      <c r="G23" s="31" t="s">
        <v>24</v>
      </c>
      <c r="H23" s="49" t="s">
        <v>141</v>
      </c>
      <c r="I23" s="60" t="s">
        <v>142</v>
      </c>
      <c r="J23" s="54">
        <v>2</v>
      </c>
      <c r="K23" s="40" t="s">
        <v>27</v>
      </c>
      <c r="L23" s="52"/>
      <c r="M23" s="99" t="s">
        <v>22</v>
      </c>
      <c r="N23" s="43">
        <v>10</v>
      </c>
      <c r="O23" s="31" t="s">
        <v>24</v>
      </c>
      <c r="P23" s="55" t="s">
        <v>143</v>
      </c>
      <c r="Q23" s="61" t="s">
        <v>144</v>
      </c>
      <c r="R23" s="54">
        <v>8</v>
      </c>
      <c r="S23" s="40" t="s">
        <v>27</v>
      </c>
      <c r="T23" s="16"/>
    </row>
    <row r="24" spans="1:20" ht="12" customHeight="1" x14ac:dyDescent="0.5">
      <c r="A24" s="67"/>
      <c r="B24" s="26"/>
      <c r="C24" s="16"/>
      <c r="D24" s="99" t="s">
        <v>22</v>
      </c>
      <c r="E24" s="32" t="s">
        <v>31</v>
      </c>
      <c r="F24" s="33">
        <v>4</v>
      </c>
      <c r="G24" s="31" t="s">
        <v>24</v>
      </c>
      <c r="H24" s="49" t="s">
        <v>145</v>
      </c>
      <c r="I24" s="60" t="s">
        <v>146</v>
      </c>
      <c r="J24" s="54">
        <v>4</v>
      </c>
      <c r="K24" s="40" t="s">
        <v>27</v>
      </c>
      <c r="L24" s="52"/>
      <c r="M24" s="99" t="s">
        <v>22</v>
      </c>
      <c r="N24" s="43">
        <v>10</v>
      </c>
      <c r="O24" s="31" t="s">
        <v>24</v>
      </c>
      <c r="P24" s="55" t="s">
        <v>147</v>
      </c>
      <c r="Q24" s="61" t="s">
        <v>148</v>
      </c>
      <c r="R24" s="54">
        <v>6</v>
      </c>
      <c r="S24" s="40" t="s">
        <v>27</v>
      </c>
      <c r="T24" s="16"/>
    </row>
    <row r="25" spans="1:20" ht="12" customHeight="1" x14ac:dyDescent="0.5">
      <c r="A25" s="181" t="s">
        <v>149</v>
      </c>
      <c r="B25" s="178"/>
      <c r="C25" s="16"/>
      <c r="D25" s="99" t="s">
        <v>22</v>
      </c>
      <c r="E25" s="32" t="s">
        <v>31</v>
      </c>
      <c r="F25" s="33">
        <v>5</v>
      </c>
      <c r="G25" s="31" t="s">
        <v>24</v>
      </c>
      <c r="H25" s="49" t="s">
        <v>150</v>
      </c>
      <c r="I25" s="60" t="s">
        <v>151</v>
      </c>
      <c r="J25" s="54">
        <v>5</v>
      </c>
      <c r="K25" s="40" t="s">
        <v>27</v>
      </c>
      <c r="L25" s="52"/>
      <c r="M25" s="99" t="s">
        <v>22</v>
      </c>
      <c r="N25" s="43">
        <v>0</v>
      </c>
      <c r="O25" s="31" t="s">
        <v>32</v>
      </c>
      <c r="P25" s="55" t="s">
        <v>152</v>
      </c>
      <c r="Q25" s="61" t="s">
        <v>153</v>
      </c>
      <c r="R25" s="54">
        <v>0</v>
      </c>
      <c r="S25" s="40" t="s">
        <v>27</v>
      </c>
      <c r="T25" s="16"/>
    </row>
    <row r="26" spans="1:20" ht="12" customHeight="1" x14ac:dyDescent="0.5">
      <c r="A26" s="182"/>
      <c r="B26" s="178"/>
      <c r="C26" s="16"/>
      <c r="D26" s="99" t="s">
        <v>22</v>
      </c>
      <c r="E26" s="32" t="s">
        <v>31</v>
      </c>
      <c r="F26" s="33">
        <v>2</v>
      </c>
      <c r="G26" s="31" t="s">
        <v>24</v>
      </c>
      <c r="H26" s="49" t="s">
        <v>154</v>
      </c>
      <c r="I26" s="60" t="s">
        <v>155</v>
      </c>
      <c r="J26" s="54">
        <v>2</v>
      </c>
      <c r="K26" s="40" t="s">
        <v>27</v>
      </c>
      <c r="L26" s="52"/>
      <c r="M26" s="99" t="s">
        <v>22</v>
      </c>
      <c r="N26" s="43">
        <v>5</v>
      </c>
      <c r="O26" s="31" t="s">
        <v>24</v>
      </c>
      <c r="P26" s="55" t="s">
        <v>156</v>
      </c>
      <c r="Q26" s="61" t="s">
        <v>157</v>
      </c>
      <c r="R26" s="54">
        <v>5</v>
      </c>
      <c r="S26" s="40" t="s">
        <v>27</v>
      </c>
      <c r="T26" s="16"/>
    </row>
    <row r="27" spans="1:20" ht="12" customHeight="1" x14ac:dyDescent="0.5">
      <c r="A27" s="182"/>
      <c r="B27" s="178"/>
      <c r="C27" s="16"/>
      <c r="D27" s="99" t="s">
        <v>22</v>
      </c>
      <c r="E27" s="32" t="s">
        <v>31</v>
      </c>
      <c r="F27" s="33">
        <v>3</v>
      </c>
      <c r="G27" s="31" t="s">
        <v>24</v>
      </c>
      <c r="H27" s="49" t="s">
        <v>158</v>
      </c>
      <c r="I27" s="60" t="s">
        <v>159</v>
      </c>
      <c r="J27" s="54">
        <v>3</v>
      </c>
      <c r="K27" s="40" t="s">
        <v>27</v>
      </c>
      <c r="L27" s="52"/>
      <c r="M27" s="99" t="s">
        <v>22</v>
      </c>
      <c r="N27" s="43">
        <v>5</v>
      </c>
      <c r="O27" s="31" t="s">
        <v>24</v>
      </c>
      <c r="P27" s="55" t="s">
        <v>160</v>
      </c>
      <c r="Q27" s="61" t="s">
        <v>161</v>
      </c>
      <c r="R27" s="54">
        <v>5</v>
      </c>
      <c r="S27" s="40" t="s">
        <v>27</v>
      </c>
      <c r="T27" s="16"/>
    </row>
    <row r="28" spans="1:20" ht="12" customHeight="1" x14ac:dyDescent="0.5">
      <c r="A28" s="182"/>
      <c r="B28" s="178"/>
      <c r="C28" s="16"/>
      <c r="D28" s="99" t="s">
        <v>22</v>
      </c>
      <c r="E28" s="32" t="s">
        <v>31</v>
      </c>
      <c r="F28" s="33">
        <v>2</v>
      </c>
      <c r="G28" s="31" t="s">
        <v>24</v>
      </c>
      <c r="H28" s="49" t="s">
        <v>162</v>
      </c>
      <c r="I28" s="60" t="s">
        <v>163</v>
      </c>
      <c r="J28" s="54">
        <v>2</v>
      </c>
      <c r="K28" s="40" t="s">
        <v>27</v>
      </c>
      <c r="L28" s="52"/>
      <c r="M28" s="99" t="s">
        <v>22</v>
      </c>
      <c r="N28" s="43">
        <v>5</v>
      </c>
      <c r="O28" s="31" t="s">
        <v>24</v>
      </c>
      <c r="P28" s="55" t="s">
        <v>164</v>
      </c>
      <c r="Q28" s="61" t="s">
        <v>165</v>
      </c>
      <c r="R28" s="54">
        <v>5</v>
      </c>
      <c r="S28" s="40" t="s">
        <v>27</v>
      </c>
      <c r="T28" s="16"/>
    </row>
    <row r="29" spans="1:20" ht="12" customHeight="1" x14ac:dyDescent="0.5">
      <c r="A29" s="182"/>
      <c r="B29" s="178"/>
      <c r="C29" s="16"/>
      <c r="D29" s="99" t="s">
        <v>22</v>
      </c>
      <c r="E29" s="32" t="s">
        <v>31</v>
      </c>
      <c r="F29" s="33">
        <v>2</v>
      </c>
      <c r="G29" s="31" t="s">
        <v>24</v>
      </c>
      <c r="H29" s="49" t="s">
        <v>166</v>
      </c>
      <c r="I29" s="60" t="s">
        <v>167</v>
      </c>
      <c r="J29" s="54">
        <v>2</v>
      </c>
      <c r="K29" s="40" t="s">
        <v>27</v>
      </c>
      <c r="L29" s="52"/>
      <c r="M29" s="99" t="s">
        <v>22</v>
      </c>
      <c r="N29" s="43">
        <v>5</v>
      </c>
      <c r="O29" s="31" t="s">
        <v>24</v>
      </c>
      <c r="P29" s="55" t="s">
        <v>168</v>
      </c>
      <c r="Q29" s="61" t="s">
        <v>169</v>
      </c>
      <c r="R29" s="54">
        <v>5</v>
      </c>
      <c r="S29" s="40" t="s">
        <v>27</v>
      </c>
      <c r="T29" s="16"/>
    </row>
    <row r="30" spans="1:20" ht="12" customHeight="1" x14ac:dyDescent="0.5">
      <c r="A30" s="182"/>
      <c r="B30" s="178"/>
      <c r="C30" s="16"/>
      <c r="D30" s="99" t="s">
        <v>22</v>
      </c>
      <c r="E30" s="32" t="s">
        <v>31</v>
      </c>
      <c r="F30" s="33">
        <v>5</v>
      </c>
      <c r="G30" s="31" t="s">
        <v>24</v>
      </c>
      <c r="H30" s="49" t="s">
        <v>170</v>
      </c>
      <c r="I30" s="60" t="s">
        <v>171</v>
      </c>
      <c r="J30" s="54">
        <v>5</v>
      </c>
      <c r="K30" s="40" t="s">
        <v>27</v>
      </c>
      <c r="L30" s="52"/>
      <c r="M30" s="99" t="s">
        <v>22</v>
      </c>
      <c r="N30" s="43">
        <v>5</v>
      </c>
      <c r="O30" s="31" t="s">
        <v>24</v>
      </c>
      <c r="P30" s="55" t="s">
        <v>172</v>
      </c>
      <c r="Q30" s="61" t="s">
        <v>173</v>
      </c>
      <c r="R30" s="54">
        <v>5</v>
      </c>
      <c r="S30" s="40" t="s">
        <v>27</v>
      </c>
      <c r="T30" s="16"/>
    </row>
    <row r="31" spans="1:20" ht="12" customHeight="1" x14ac:dyDescent="0.5">
      <c r="A31" s="182"/>
      <c r="B31" s="178"/>
      <c r="C31" s="16"/>
      <c r="D31" s="99" t="s">
        <v>22</v>
      </c>
      <c r="E31" s="32" t="s">
        <v>31</v>
      </c>
      <c r="F31" s="33">
        <v>8</v>
      </c>
      <c r="G31" s="31" t="s">
        <v>24</v>
      </c>
      <c r="H31" s="49" t="s">
        <v>174</v>
      </c>
      <c r="I31" s="60" t="s">
        <v>175</v>
      </c>
      <c r="J31" s="54">
        <v>8</v>
      </c>
      <c r="K31" s="40" t="s">
        <v>27</v>
      </c>
      <c r="L31" s="52"/>
      <c r="M31" s="99" t="s">
        <v>22</v>
      </c>
      <c r="N31" s="43">
        <v>5</v>
      </c>
      <c r="O31" s="31" t="s">
        <v>32</v>
      </c>
      <c r="P31" s="55" t="s">
        <v>176</v>
      </c>
      <c r="Q31" s="61" t="s">
        <v>177</v>
      </c>
      <c r="R31" s="54">
        <v>5</v>
      </c>
      <c r="S31" s="40" t="s">
        <v>27</v>
      </c>
      <c r="T31" s="16"/>
    </row>
    <row r="32" spans="1:20" ht="12" customHeight="1" x14ac:dyDescent="0.5">
      <c r="A32" s="182"/>
      <c r="B32" s="178"/>
      <c r="C32" s="16"/>
      <c r="D32" s="99" t="s">
        <v>22</v>
      </c>
      <c r="E32" s="32" t="s">
        <v>31</v>
      </c>
      <c r="F32" s="33">
        <v>2</v>
      </c>
      <c r="G32" s="31" t="s">
        <v>24</v>
      </c>
      <c r="H32" s="49" t="s">
        <v>178</v>
      </c>
      <c r="I32" s="60" t="s">
        <v>179</v>
      </c>
      <c r="J32" s="54">
        <v>2</v>
      </c>
      <c r="K32" s="40" t="s">
        <v>27</v>
      </c>
      <c r="L32" s="52"/>
      <c r="M32" s="99" t="s">
        <v>22</v>
      </c>
      <c r="N32" s="43">
        <v>5</v>
      </c>
      <c r="O32" s="31" t="s">
        <v>24</v>
      </c>
      <c r="P32" s="55" t="s">
        <v>180</v>
      </c>
      <c r="Q32" s="61" t="s">
        <v>181</v>
      </c>
      <c r="R32" s="54">
        <v>5</v>
      </c>
      <c r="S32" s="40" t="s">
        <v>27</v>
      </c>
      <c r="T32" s="16"/>
    </row>
    <row r="33" spans="1:20" ht="12" customHeight="1" x14ac:dyDescent="0.5">
      <c r="A33" s="182"/>
      <c r="B33" s="178"/>
      <c r="C33" s="16"/>
      <c r="D33" s="99" t="s">
        <v>182</v>
      </c>
      <c r="E33" s="32" t="s">
        <v>183</v>
      </c>
      <c r="F33" s="33">
        <v>4</v>
      </c>
      <c r="G33" s="31" t="s">
        <v>32</v>
      </c>
      <c r="H33" s="49" t="s">
        <v>184</v>
      </c>
      <c r="I33" s="60" t="s">
        <v>185</v>
      </c>
      <c r="J33" s="54">
        <v>4</v>
      </c>
      <c r="K33" s="40" t="s">
        <v>186</v>
      </c>
      <c r="L33" s="52"/>
      <c r="M33" s="99" t="s">
        <v>22</v>
      </c>
      <c r="N33" s="43">
        <v>5</v>
      </c>
      <c r="O33" s="31" t="s">
        <v>32</v>
      </c>
      <c r="P33" s="55" t="s">
        <v>187</v>
      </c>
      <c r="Q33" s="61" t="s">
        <v>188</v>
      </c>
      <c r="R33" s="54">
        <v>5</v>
      </c>
      <c r="S33" s="40" t="s">
        <v>27</v>
      </c>
      <c r="T33" s="16"/>
    </row>
    <row r="34" spans="1:20" ht="12" customHeight="1" x14ac:dyDescent="0.5">
      <c r="A34" s="182"/>
      <c r="B34" s="178"/>
      <c r="C34" s="16"/>
      <c r="D34" s="99" t="s">
        <v>22</v>
      </c>
      <c r="E34" s="32" t="s">
        <v>31</v>
      </c>
      <c r="F34" s="33">
        <v>6</v>
      </c>
      <c r="G34" s="31" t="s">
        <v>24</v>
      </c>
      <c r="H34" s="49" t="s">
        <v>189</v>
      </c>
      <c r="I34" s="60" t="s">
        <v>190</v>
      </c>
      <c r="J34" s="54">
        <v>6</v>
      </c>
      <c r="K34" s="40" t="s">
        <v>27</v>
      </c>
      <c r="L34" s="52"/>
      <c r="M34" s="99" t="s">
        <v>22</v>
      </c>
      <c r="N34" s="43">
        <v>5</v>
      </c>
      <c r="O34" s="31" t="s">
        <v>32</v>
      </c>
      <c r="P34" s="55" t="s">
        <v>191</v>
      </c>
      <c r="Q34" s="61" t="s">
        <v>192</v>
      </c>
      <c r="R34" s="54">
        <v>5</v>
      </c>
      <c r="S34" s="40" t="s">
        <v>27</v>
      </c>
      <c r="T34" s="16"/>
    </row>
    <row r="35" spans="1:20" ht="12" customHeight="1" x14ac:dyDescent="0.5">
      <c r="A35" s="182"/>
      <c r="B35" s="178"/>
      <c r="C35" s="16"/>
      <c r="D35" s="99" t="s">
        <v>22</v>
      </c>
      <c r="E35" s="32" t="s">
        <v>31</v>
      </c>
      <c r="F35" s="33">
        <v>10</v>
      </c>
      <c r="G35" s="31" t="s">
        <v>24</v>
      </c>
      <c r="H35" s="49" t="s">
        <v>193</v>
      </c>
      <c r="I35" s="60" t="s">
        <v>194</v>
      </c>
      <c r="J35" s="54">
        <v>10</v>
      </c>
      <c r="K35" s="40" t="s">
        <v>27</v>
      </c>
      <c r="L35" s="52"/>
      <c r="M35" s="99" t="s">
        <v>22</v>
      </c>
      <c r="N35" s="43">
        <v>5</v>
      </c>
      <c r="O35" s="31" t="s">
        <v>32</v>
      </c>
      <c r="P35" s="55" t="s">
        <v>195</v>
      </c>
      <c r="Q35" s="61" t="s">
        <v>196</v>
      </c>
      <c r="R35" s="54">
        <v>5</v>
      </c>
      <c r="S35" s="40" t="s">
        <v>27</v>
      </c>
      <c r="T35" s="16"/>
    </row>
    <row r="36" spans="1:20" ht="12" customHeight="1" x14ac:dyDescent="0.5">
      <c r="A36" s="182"/>
      <c r="B36" s="178"/>
      <c r="C36" s="16"/>
      <c r="D36" s="99" t="s">
        <v>22</v>
      </c>
      <c r="E36" s="32" t="s">
        <v>31</v>
      </c>
      <c r="F36" s="33">
        <v>2</v>
      </c>
      <c r="G36" s="31" t="s">
        <v>24</v>
      </c>
      <c r="H36" s="49" t="s">
        <v>197</v>
      </c>
      <c r="I36" s="60" t="s">
        <v>198</v>
      </c>
      <c r="J36" s="54">
        <v>2</v>
      </c>
      <c r="K36" s="40" t="s">
        <v>27</v>
      </c>
      <c r="L36" s="52"/>
      <c r="M36" s="99" t="s">
        <v>22</v>
      </c>
      <c r="N36" s="43">
        <v>5</v>
      </c>
      <c r="O36" s="31" t="s">
        <v>24</v>
      </c>
      <c r="P36" s="55" t="s">
        <v>199</v>
      </c>
      <c r="Q36" s="61" t="s">
        <v>200</v>
      </c>
      <c r="R36" s="54">
        <v>5</v>
      </c>
      <c r="S36" s="40" t="s">
        <v>27</v>
      </c>
      <c r="T36" s="16"/>
    </row>
    <row r="37" spans="1:20" ht="12" customHeight="1" x14ac:dyDescent="0.5">
      <c r="A37" s="182"/>
      <c r="B37" s="178"/>
      <c r="C37" s="16"/>
      <c r="D37" s="99" t="s">
        <v>22</v>
      </c>
      <c r="E37" s="32" t="s">
        <v>31</v>
      </c>
      <c r="F37" s="33">
        <v>4</v>
      </c>
      <c r="G37" s="31" t="s">
        <v>24</v>
      </c>
      <c r="H37" s="49" t="s">
        <v>201</v>
      </c>
      <c r="I37" s="60" t="s">
        <v>202</v>
      </c>
      <c r="J37" s="54">
        <v>4</v>
      </c>
      <c r="K37" s="40" t="s">
        <v>27</v>
      </c>
      <c r="L37" s="52"/>
      <c r="M37" s="99" t="s">
        <v>22</v>
      </c>
      <c r="N37" s="43">
        <v>6</v>
      </c>
      <c r="O37" s="31" t="s">
        <v>32</v>
      </c>
      <c r="P37" s="55" t="s">
        <v>203</v>
      </c>
      <c r="Q37" s="61" t="s">
        <v>204</v>
      </c>
      <c r="R37" s="54">
        <v>6</v>
      </c>
      <c r="S37" s="40" t="s">
        <v>27</v>
      </c>
      <c r="T37" s="16"/>
    </row>
    <row r="38" spans="1:20" ht="12" customHeight="1" x14ac:dyDescent="0.5">
      <c r="A38" s="182"/>
      <c r="B38" s="178"/>
      <c r="C38" s="16"/>
      <c r="D38" s="99" t="s">
        <v>22</v>
      </c>
      <c r="E38" s="32" t="s">
        <v>31</v>
      </c>
      <c r="F38" s="33">
        <v>4</v>
      </c>
      <c r="G38" s="31" t="s">
        <v>24</v>
      </c>
      <c r="H38" s="49" t="s">
        <v>205</v>
      </c>
      <c r="I38" s="60" t="s">
        <v>206</v>
      </c>
      <c r="J38" s="54">
        <v>4</v>
      </c>
      <c r="K38" s="40" t="s">
        <v>27</v>
      </c>
      <c r="L38" s="52"/>
      <c r="M38" s="100" t="s">
        <v>22</v>
      </c>
      <c r="N38" s="80">
        <v>4</v>
      </c>
      <c r="O38" s="34" t="s">
        <v>32</v>
      </c>
      <c r="P38" s="59" t="s">
        <v>207</v>
      </c>
      <c r="Q38" s="89" t="s">
        <v>208</v>
      </c>
      <c r="R38" s="57">
        <v>4</v>
      </c>
      <c r="S38" s="41" t="s">
        <v>27</v>
      </c>
      <c r="T38" s="16"/>
    </row>
    <row r="39" spans="1:20" ht="12" customHeight="1" x14ac:dyDescent="0.5">
      <c r="A39" s="66"/>
      <c r="B39" s="26"/>
      <c r="C39" s="16"/>
      <c r="D39" s="99" t="s">
        <v>22</v>
      </c>
      <c r="E39" s="32" t="s">
        <v>31</v>
      </c>
      <c r="F39" s="33">
        <v>2</v>
      </c>
      <c r="G39" s="31" t="s">
        <v>24</v>
      </c>
      <c r="H39" s="49" t="s">
        <v>209</v>
      </c>
      <c r="I39" s="60" t="s">
        <v>210</v>
      </c>
      <c r="J39" s="54">
        <v>2</v>
      </c>
      <c r="K39" s="40" t="s">
        <v>27</v>
      </c>
      <c r="L39" s="52"/>
    </row>
    <row r="40" spans="1:20" ht="12" customHeight="1" x14ac:dyDescent="0.5">
      <c r="A40" s="66"/>
      <c r="B40" s="26"/>
      <c r="C40" s="16"/>
      <c r="D40" s="99" t="s">
        <v>182</v>
      </c>
      <c r="E40" s="32" t="s">
        <v>183</v>
      </c>
      <c r="F40" s="33">
        <v>2</v>
      </c>
      <c r="G40" s="31" t="s">
        <v>32</v>
      </c>
      <c r="H40" s="49" t="s">
        <v>211</v>
      </c>
      <c r="I40" s="60" t="s">
        <v>212</v>
      </c>
      <c r="J40" s="54">
        <v>2</v>
      </c>
      <c r="K40" s="40" t="s">
        <v>186</v>
      </c>
      <c r="L40" s="52"/>
    </row>
    <row r="41" spans="1:20" ht="12" customHeight="1" x14ac:dyDescent="0.5">
      <c r="A41" s="66"/>
      <c r="B41" s="26"/>
      <c r="C41" s="16"/>
      <c r="D41" s="99" t="s">
        <v>22</v>
      </c>
      <c r="E41" s="32" t="s">
        <v>31</v>
      </c>
      <c r="F41" s="33">
        <v>6</v>
      </c>
      <c r="G41" s="31" t="s">
        <v>24</v>
      </c>
      <c r="H41" s="49" t="s">
        <v>213</v>
      </c>
      <c r="I41" s="60" t="s">
        <v>214</v>
      </c>
      <c r="J41" s="54">
        <v>6</v>
      </c>
      <c r="K41" s="40" t="s">
        <v>27</v>
      </c>
      <c r="L41" s="52"/>
    </row>
    <row r="42" spans="1:20" ht="12" customHeight="1" x14ac:dyDescent="0.5">
      <c r="A42" s="66"/>
      <c r="B42" s="26"/>
      <c r="C42" s="16"/>
      <c r="D42" s="99" t="s">
        <v>22</v>
      </c>
      <c r="E42" s="32" t="s">
        <v>31</v>
      </c>
      <c r="F42" s="33">
        <v>6</v>
      </c>
      <c r="G42" s="31" t="s">
        <v>24</v>
      </c>
      <c r="H42" s="49" t="s">
        <v>215</v>
      </c>
      <c r="I42" s="60" t="s">
        <v>216</v>
      </c>
      <c r="J42" s="54">
        <v>6</v>
      </c>
      <c r="K42" s="40" t="s">
        <v>27</v>
      </c>
      <c r="L42" s="52"/>
    </row>
    <row r="43" spans="1:20" ht="12" customHeight="1" x14ac:dyDescent="0.5">
      <c r="A43" s="66"/>
      <c r="B43" s="26"/>
      <c r="C43" s="16"/>
      <c r="D43" s="99" t="s">
        <v>22</v>
      </c>
      <c r="E43" s="32" t="s">
        <v>31</v>
      </c>
      <c r="F43" s="33">
        <v>20</v>
      </c>
      <c r="G43" s="31" t="s">
        <v>24</v>
      </c>
      <c r="H43" s="49" t="s">
        <v>217</v>
      </c>
      <c r="I43" s="60" t="s">
        <v>218</v>
      </c>
      <c r="J43" s="54">
        <v>20</v>
      </c>
      <c r="K43" s="40" t="s">
        <v>27</v>
      </c>
      <c r="L43" s="52"/>
    </row>
    <row r="44" spans="1:20" ht="12" customHeight="1" x14ac:dyDescent="0.5">
      <c r="A44" s="66"/>
      <c r="B44" s="26"/>
      <c r="C44" s="16"/>
      <c r="D44" s="99" t="s">
        <v>22</v>
      </c>
      <c r="E44" s="32" t="s">
        <v>31</v>
      </c>
      <c r="F44" s="33">
        <v>2</v>
      </c>
      <c r="G44" s="31" t="s">
        <v>24</v>
      </c>
      <c r="H44" s="49" t="s">
        <v>219</v>
      </c>
      <c r="I44" s="60" t="s">
        <v>220</v>
      </c>
      <c r="J44" s="54">
        <v>2</v>
      </c>
      <c r="K44" s="40" t="s">
        <v>27</v>
      </c>
      <c r="L44" s="52"/>
    </row>
    <row r="45" spans="1:20" ht="12" customHeight="1" x14ac:dyDescent="0.5">
      <c r="A45" s="66"/>
      <c r="B45" s="26"/>
      <c r="C45" s="16"/>
      <c r="D45" s="99" t="s">
        <v>22</v>
      </c>
      <c r="E45" s="32" t="s">
        <v>31</v>
      </c>
      <c r="F45" s="33">
        <v>5</v>
      </c>
      <c r="G45" s="31" t="s">
        <v>32</v>
      </c>
      <c r="H45" s="49" t="s">
        <v>221</v>
      </c>
      <c r="I45" s="60" t="s">
        <v>222</v>
      </c>
      <c r="J45" s="54">
        <v>5</v>
      </c>
      <c r="K45" s="40" t="s">
        <v>27</v>
      </c>
      <c r="L45" s="52"/>
    </row>
    <row r="46" spans="1:20" ht="12" customHeight="1" x14ac:dyDescent="0.5">
      <c r="A46" s="66"/>
      <c r="B46" s="26"/>
      <c r="C46" s="16"/>
      <c r="D46" s="99" t="s">
        <v>22</v>
      </c>
      <c r="E46" s="32" t="s">
        <v>31</v>
      </c>
      <c r="F46" s="33">
        <v>4</v>
      </c>
      <c r="G46" s="31" t="s">
        <v>24</v>
      </c>
      <c r="H46" s="49" t="s">
        <v>223</v>
      </c>
      <c r="I46" s="60" t="s">
        <v>224</v>
      </c>
      <c r="J46" s="54">
        <v>4</v>
      </c>
      <c r="K46" s="40" t="s">
        <v>27</v>
      </c>
      <c r="L46" s="52"/>
    </row>
    <row r="47" spans="1:20" ht="12" customHeight="1" x14ac:dyDescent="0.5">
      <c r="A47" s="66"/>
      <c r="B47" s="26"/>
      <c r="C47" s="16"/>
      <c r="D47" s="99" t="s">
        <v>22</v>
      </c>
      <c r="E47" s="32" t="s">
        <v>31</v>
      </c>
      <c r="F47" s="33">
        <v>4</v>
      </c>
      <c r="G47" s="31" t="s">
        <v>24</v>
      </c>
      <c r="H47" s="49" t="s">
        <v>225</v>
      </c>
      <c r="I47" s="60" t="s">
        <v>226</v>
      </c>
      <c r="J47" s="54">
        <v>4</v>
      </c>
      <c r="K47" s="40" t="s">
        <v>27</v>
      </c>
      <c r="L47" s="52"/>
    </row>
    <row r="48" spans="1:20" ht="12" customHeight="1" x14ac:dyDescent="0.5">
      <c r="A48" s="66"/>
      <c r="B48" s="26"/>
      <c r="C48" s="16"/>
      <c r="D48" s="99" t="s">
        <v>22</v>
      </c>
      <c r="E48" s="32" t="s">
        <v>31</v>
      </c>
      <c r="F48" s="33">
        <v>2</v>
      </c>
      <c r="G48" s="31" t="s">
        <v>24</v>
      </c>
      <c r="H48" s="49" t="s">
        <v>227</v>
      </c>
      <c r="I48" s="60" t="s">
        <v>228</v>
      </c>
      <c r="J48" s="54">
        <v>2</v>
      </c>
      <c r="K48" s="40" t="s">
        <v>27</v>
      </c>
      <c r="L48" s="52"/>
    </row>
    <row r="49" spans="1:18" ht="12" customHeight="1" x14ac:dyDescent="0.5">
      <c r="A49" s="66"/>
      <c r="B49" s="26"/>
      <c r="C49" s="16"/>
      <c r="D49" s="99" t="s">
        <v>22</v>
      </c>
      <c r="E49" s="32" t="s">
        <v>31</v>
      </c>
      <c r="F49" s="33">
        <v>2</v>
      </c>
      <c r="G49" s="31" t="s">
        <v>24</v>
      </c>
      <c r="H49" s="49" t="s">
        <v>229</v>
      </c>
      <c r="I49" s="60" t="s">
        <v>230</v>
      </c>
      <c r="J49" s="54">
        <v>2</v>
      </c>
      <c r="K49" s="40" t="s">
        <v>27</v>
      </c>
      <c r="L49" s="52"/>
    </row>
    <row r="50" spans="1:18" ht="12" customHeight="1" x14ac:dyDescent="0.5">
      <c r="A50" s="66"/>
      <c r="B50" s="26"/>
      <c r="C50" s="16"/>
      <c r="D50" s="99" t="s">
        <v>22</v>
      </c>
      <c r="E50" s="32" t="s">
        <v>31</v>
      </c>
      <c r="F50" s="33">
        <v>2</v>
      </c>
      <c r="G50" s="31" t="s">
        <v>24</v>
      </c>
      <c r="H50" s="49" t="s">
        <v>231</v>
      </c>
      <c r="I50" s="60" t="s">
        <v>232</v>
      </c>
      <c r="J50" s="54">
        <v>2</v>
      </c>
      <c r="K50" s="40" t="s">
        <v>27</v>
      </c>
      <c r="L50" s="52"/>
    </row>
    <row r="51" spans="1:18" ht="12" customHeight="1" x14ac:dyDescent="0.5">
      <c r="A51" s="66"/>
      <c r="B51" s="26"/>
      <c r="C51" s="16"/>
      <c r="D51" s="99" t="s">
        <v>22</v>
      </c>
      <c r="E51" s="32" t="s">
        <v>31</v>
      </c>
      <c r="F51" s="33">
        <v>1</v>
      </c>
      <c r="G51" s="31" t="s">
        <v>24</v>
      </c>
      <c r="H51" s="49" t="s">
        <v>233</v>
      </c>
      <c r="I51" s="60" t="s">
        <v>234</v>
      </c>
      <c r="J51" s="54">
        <v>1</v>
      </c>
      <c r="K51" s="40" t="s">
        <v>27</v>
      </c>
      <c r="L51" s="52"/>
    </row>
    <row r="52" spans="1:18" ht="12" customHeight="1" x14ac:dyDescent="0.5">
      <c r="A52" s="66"/>
      <c r="B52" s="26"/>
      <c r="C52" s="16"/>
      <c r="D52" s="99" t="s">
        <v>22</v>
      </c>
      <c r="E52" s="32" t="s">
        <v>31</v>
      </c>
      <c r="F52" s="33">
        <v>2</v>
      </c>
      <c r="G52" s="31" t="s">
        <v>24</v>
      </c>
      <c r="H52" s="49" t="s">
        <v>235</v>
      </c>
      <c r="I52" s="60" t="s">
        <v>236</v>
      </c>
      <c r="J52" s="54">
        <v>2</v>
      </c>
      <c r="K52" s="40" t="s">
        <v>27</v>
      </c>
      <c r="L52" s="58"/>
    </row>
    <row r="53" spans="1:18" ht="10.5" customHeight="1" x14ac:dyDescent="0.5">
      <c r="A53" s="66"/>
      <c r="B53" s="26"/>
      <c r="C53" s="16"/>
      <c r="D53" s="99" t="s">
        <v>22</v>
      </c>
      <c r="E53" s="104" t="s">
        <v>237</v>
      </c>
      <c r="F53" s="33">
        <v>6</v>
      </c>
      <c r="G53" s="31" t="s">
        <v>24</v>
      </c>
      <c r="H53" s="49" t="s">
        <v>238</v>
      </c>
      <c r="I53" s="60" t="s">
        <v>239</v>
      </c>
      <c r="J53" s="54">
        <v>6</v>
      </c>
      <c r="K53" s="40" t="s">
        <v>27</v>
      </c>
      <c r="L53" s="52"/>
      <c r="N53" s="108"/>
      <c r="Q53" s="83"/>
      <c r="R53" s="108"/>
    </row>
    <row r="54" spans="1:18" ht="10.5" customHeight="1" x14ac:dyDescent="0.5">
      <c r="A54" s="66"/>
      <c r="B54" s="26"/>
      <c r="C54" s="16"/>
      <c r="D54" s="99" t="s">
        <v>22</v>
      </c>
      <c r="E54" s="32" t="s">
        <v>240</v>
      </c>
      <c r="F54" s="33">
        <v>6</v>
      </c>
      <c r="G54" s="31" t="s">
        <v>24</v>
      </c>
      <c r="H54" s="49" t="s">
        <v>240</v>
      </c>
      <c r="I54" s="60" t="s">
        <v>241</v>
      </c>
      <c r="J54" s="54">
        <v>6</v>
      </c>
      <c r="K54" s="40" t="s">
        <v>27</v>
      </c>
      <c r="L54" s="52"/>
      <c r="N54" s="108"/>
      <c r="Q54" s="83"/>
      <c r="R54" s="108"/>
    </row>
    <row r="55" spans="1:18" ht="10.5" customHeight="1" x14ac:dyDescent="0.5">
      <c r="A55" s="66"/>
      <c r="B55" s="26"/>
      <c r="C55" s="16"/>
      <c r="D55" s="99" t="s">
        <v>22</v>
      </c>
      <c r="E55" s="32" t="s">
        <v>240</v>
      </c>
      <c r="F55" s="33">
        <v>6</v>
      </c>
      <c r="G55" s="31" t="s">
        <v>24</v>
      </c>
      <c r="H55" s="49" t="s">
        <v>240</v>
      </c>
      <c r="I55" s="60" t="s">
        <v>242</v>
      </c>
      <c r="J55" s="54">
        <v>6</v>
      </c>
      <c r="K55" s="40" t="s">
        <v>27</v>
      </c>
      <c r="L55" s="52"/>
    </row>
    <row r="56" spans="1:18" ht="10.5" customHeight="1" x14ac:dyDescent="0.5">
      <c r="A56" s="66"/>
      <c r="B56" s="26"/>
      <c r="C56" s="16"/>
      <c r="D56" s="99" t="s">
        <v>22</v>
      </c>
      <c r="E56" s="32" t="s">
        <v>240</v>
      </c>
      <c r="F56" s="33">
        <v>6</v>
      </c>
      <c r="G56" s="31" t="s">
        <v>24</v>
      </c>
      <c r="H56" s="49" t="s">
        <v>240</v>
      </c>
      <c r="I56" s="60" t="s">
        <v>243</v>
      </c>
      <c r="J56" s="54">
        <v>6</v>
      </c>
      <c r="K56" s="40" t="s">
        <v>27</v>
      </c>
      <c r="L56" s="52"/>
    </row>
    <row r="57" spans="1:18" ht="10.5" customHeight="1" x14ac:dyDescent="0.5">
      <c r="A57" s="66"/>
      <c r="B57" s="26"/>
      <c r="C57" s="16"/>
      <c r="D57" s="99" t="s">
        <v>22</v>
      </c>
      <c r="E57" s="32" t="s">
        <v>240</v>
      </c>
      <c r="F57" s="33">
        <v>6</v>
      </c>
      <c r="G57" s="31" t="s">
        <v>24</v>
      </c>
      <c r="H57" s="49" t="s">
        <v>240</v>
      </c>
      <c r="I57" s="60" t="s">
        <v>244</v>
      </c>
      <c r="J57" s="54">
        <v>6</v>
      </c>
      <c r="K57" s="40" t="s">
        <v>27</v>
      </c>
      <c r="L57" s="52"/>
    </row>
    <row r="58" spans="1:18" ht="10.5" customHeight="1" x14ac:dyDescent="0.5">
      <c r="A58" s="66"/>
      <c r="B58" s="26"/>
      <c r="C58" s="16"/>
      <c r="D58" s="99" t="s">
        <v>22</v>
      </c>
      <c r="E58" s="32" t="s">
        <v>240</v>
      </c>
      <c r="F58" s="33">
        <v>6</v>
      </c>
      <c r="G58" s="31" t="s">
        <v>24</v>
      </c>
      <c r="H58" s="49" t="s">
        <v>240</v>
      </c>
      <c r="I58" s="60" t="s">
        <v>245</v>
      </c>
      <c r="J58" s="54">
        <v>6</v>
      </c>
      <c r="K58" s="40" t="s">
        <v>27</v>
      </c>
      <c r="L58" s="52"/>
    </row>
    <row r="59" spans="1:18" ht="10.5" customHeight="1" x14ac:dyDescent="0.5">
      <c r="A59" s="66"/>
      <c r="B59" s="26"/>
      <c r="C59" s="16"/>
      <c r="D59" s="99" t="s">
        <v>182</v>
      </c>
      <c r="E59" s="32" t="s">
        <v>246</v>
      </c>
      <c r="F59" s="33">
        <v>6</v>
      </c>
      <c r="G59" s="31" t="s">
        <v>32</v>
      </c>
      <c r="H59" s="49" t="s">
        <v>247</v>
      </c>
      <c r="I59" s="60" t="s">
        <v>248</v>
      </c>
      <c r="J59" s="54">
        <v>6</v>
      </c>
      <c r="K59" s="40" t="s">
        <v>249</v>
      </c>
      <c r="L59" s="52"/>
    </row>
    <row r="60" spans="1:18" ht="10.5" customHeight="1" x14ac:dyDescent="0.5">
      <c r="A60" s="66"/>
      <c r="B60" s="26"/>
      <c r="C60" s="16"/>
      <c r="D60" s="99" t="s">
        <v>22</v>
      </c>
      <c r="E60" s="32" t="s">
        <v>246</v>
      </c>
      <c r="F60" s="33">
        <v>6</v>
      </c>
      <c r="G60" s="31" t="s">
        <v>24</v>
      </c>
      <c r="H60" s="49" t="s">
        <v>247</v>
      </c>
      <c r="I60" s="60" t="s">
        <v>250</v>
      </c>
      <c r="J60" s="54">
        <v>6</v>
      </c>
      <c r="K60" s="40" t="s">
        <v>27</v>
      </c>
      <c r="L60" s="52"/>
    </row>
    <row r="61" spans="1:18" ht="10.5" customHeight="1" x14ac:dyDescent="0.5">
      <c r="A61" s="68"/>
      <c r="B61" s="27"/>
      <c r="C61" s="17"/>
      <c r="D61" s="100" t="s">
        <v>22</v>
      </c>
      <c r="E61" s="35" t="s">
        <v>251</v>
      </c>
      <c r="F61" s="36">
        <v>6</v>
      </c>
      <c r="G61" s="34" t="s">
        <v>24</v>
      </c>
      <c r="H61" s="56" t="s">
        <v>252</v>
      </c>
      <c r="I61" s="82" t="s">
        <v>253</v>
      </c>
      <c r="J61" s="57">
        <v>6</v>
      </c>
      <c r="K61" s="41" t="s">
        <v>27</v>
      </c>
      <c r="L61" s="52"/>
    </row>
  </sheetData>
  <mergeCells count="4">
    <mergeCell ref="A7:B7"/>
    <mergeCell ref="A11:B11"/>
    <mergeCell ref="A16:B16"/>
    <mergeCell ref="A25:B38"/>
  </mergeCells>
  <phoneticPr fontId="32" type="noConversion"/>
  <conditionalFormatting sqref="M2:M38 D2:D61">
    <cfRule type="cellIs" dxfId="19" priority="2" stopIfTrue="1" operator="equal">
      <formula>"Y"</formula>
    </cfRule>
  </conditionalFormatting>
  <dataValidations count="16">
    <dataValidation type="list" showInputMessage="1" showErrorMessage="1" sqref="B2:C2" xr:uid="{00000000-0002-0000-0100-000000000000}">
      <formula1>"WuHan Rel. Lab,Brazil Rel. Lab,Illinois Rel. Lab"</formula1>
    </dataValidation>
    <dataValidation type="list" showInputMessage="1" showErrorMessage="1" sqref="B6:C6" xr:uid="{00000000-0002-0000-0100-000001000000}">
      <formula1>"ALT Lab,Dev Engr"</formula1>
    </dataValidation>
    <dataValidation type="list" showInputMessage="1" showErrorMessage="1" sqref="B12:C12" xr:uid="{00000000-0002-0000-0100-000002000000}">
      <formula1>"WuHan,Brazil,Wintech,Huaqin,Longcheer"</formula1>
    </dataValidation>
    <dataValidation type="list" showInputMessage="1" showErrorMessage="1" sqref="B17:C17" xr:uid="{00000000-0002-0000-0100-000003000000}">
      <formula1>"New Product,Second Source,Validation/DOE,Competitive Reliability,Design Change,Factory Rework Audio,Manufacturing Acceptance (MA),New Componet,Process Change,Shipping Acceptance (SA)"</formula1>
    </dataValidation>
    <dataValidation type="list" showInputMessage="1" showErrorMessage="1" sqref="B18:C18" xr:uid="{00000000-0002-0000-0100-000004000000}">
      <formula1>"R&amp;D,Supply Chain"</formula1>
    </dataValidation>
    <dataValidation type="list" showInputMessage="1" showErrorMessage="1" sqref="M2:M38 D2:D61" xr:uid="{00000000-0002-0000-0100-000005000000}">
      <formula1>"Y, N"</formula1>
    </dataValidation>
    <dataValidation type="list" showInputMessage="1" showErrorMessage="1" sqref="B13:C13" xr:uid="{00000000-0002-0000-0100-000006000000}">
      <formula1>"EVT, EVT1,EVT2,DVT1,DVT2,PVT,OK2PILOT"</formula1>
    </dataValidation>
    <dataValidation type="list" showInputMessage="1" showErrorMessage="1" sqref="O2:O38 G2:G61" xr:uid="{00000000-0002-0000-0100-000007000000}">
      <formula1>"New,Reused"</formula1>
    </dataValidation>
    <dataValidation type="list" showInputMessage="1" showErrorMessage="1" sqref="B5:C5" xr:uid="{00000000-0002-0000-0100-000008000000}">
      <formula1>"Pre SA,Post SA"</formula1>
    </dataValidation>
    <dataValidation type="list" showInputMessage="1" showErrorMessage="1" sqref="E2" xr:uid="{00000000-0002-0000-0100-000009000000}">
      <formula1>"ALT, ALT Eval , CALT"</formula1>
    </dataValidation>
    <dataValidation type="list" showInputMessage="1" showErrorMessage="1" sqref="E3:E52" xr:uid="{00000000-0002-0000-0100-00000A000000}">
      <formula1>"DVT, DVT Eval, C-DVT"</formula1>
    </dataValidation>
    <dataValidation type="list" showInputMessage="1" showErrorMessage="1" sqref="E53" xr:uid="{00000000-0002-0000-0100-00000B000000}">
      <formula1>"Battery ALT, Battery ALT Eval"</formula1>
    </dataValidation>
    <dataValidation type="list" showInputMessage="1" showErrorMessage="1" sqref="E54:E58" xr:uid="{00000000-0002-0000-0100-00000C000000}">
      <formula1>"ERT"</formula1>
    </dataValidation>
    <dataValidation type="list" showInputMessage="1" showErrorMessage="1" sqref="E59:E60" xr:uid="{00000000-0002-0000-0100-00000D000000}">
      <formula1>"Evaluation/DOE"</formula1>
    </dataValidation>
    <dataValidation type="list" showInputMessage="1" showErrorMessage="1" sqref="E61" xr:uid="{00000000-0002-0000-0100-00000E000000}">
      <formula1>"Others"</formula1>
    </dataValidation>
    <dataValidation type="list" showInputMessage="1" showErrorMessage="1" sqref="A1" xr:uid="{00000000-0002-0000-0100-00000F000000}">
      <formula1>"Moto Mobile Product, Accessory/Others"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" r:id="rId3" name="Button 20">
              <controlPr defaultSize="0" print="0" autoFill="0" autoPict="0" macro="[0]!set_all_to_Origin">
                <anchor moveWithCells="1" sizeWithCells="1">
                  <from>
                    <xdr:col>1</xdr:col>
                    <xdr:colOff>34290</xdr:colOff>
                    <xdr:row>0</xdr:row>
                    <xdr:rowOff>19050</xdr:rowOff>
                  </from>
                  <to>
                    <xdr:col>1</xdr:col>
                    <xdr:colOff>872490</xdr:colOff>
                    <xdr:row>0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1"/>
  </sheetPr>
  <dimension ref="A1:V298"/>
  <sheetViews>
    <sheetView tabSelected="1" zoomScale="103" zoomScaleNormal="103" workbookViewId="0">
      <pane ySplit="1" topLeftCell="A2" activePane="bottomLeft" state="frozen"/>
      <selection activeCell="D2" sqref="D2"/>
      <selection pane="bottomLeft" activeCell="H149" sqref="H149"/>
    </sheetView>
  </sheetViews>
  <sheetFormatPr defaultColWidth="0" defaultRowHeight="10" customHeight="1" x14ac:dyDescent="0.5"/>
  <cols>
    <col min="1" max="1" width="8.296875" style="128" customWidth="1"/>
    <col min="2" max="2" width="3.44921875" style="128" bestFit="1" customWidth="1"/>
    <col min="3" max="3" width="5.34765625" style="128" bestFit="1" customWidth="1"/>
    <col min="4" max="4" width="27.3984375" style="128" customWidth="1"/>
    <col min="5" max="5" width="8.8984375" style="128" bestFit="1" customWidth="1"/>
    <col min="6" max="6" width="6.8984375" style="128" bestFit="1" customWidth="1"/>
    <col min="7" max="7" width="11.5" style="128" customWidth="1"/>
    <col min="8" max="8" width="6.796875" style="128" customWidth="1"/>
    <col min="9" max="9" width="23.546875" style="128" customWidth="1"/>
    <col min="10" max="10" width="8.19921875" style="128" customWidth="1"/>
    <col min="11" max="11" width="5.84765625" style="128" customWidth="1"/>
    <col min="12" max="12" width="7.75" style="128" bestFit="1" customWidth="1"/>
    <col min="13" max="17" width="5.59765625" style="128" customWidth="1"/>
    <col min="18" max="18" width="6.75" style="128" customWidth="1"/>
    <col min="19" max="19" width="5.59765625" style="128" bestFit="1" customWidth="1"/>
    <col min="20" max="20" width="7.59765625" style="128" bestFit="1" customWidth="1"/>
    <col min="21" max="21" width="34.25" style="128" customWidth="1"/>
    <col min="22" max="22" width="6.1484375" style="128" customWidth="1"/>
    <col min="23" max="112" width="32.6484375" style="128" hidden="1" customWidth="1"/>
    <col min="113" max="16384" width="32.6484375" style="128" hidden="1"/>
  </cols>
  <sheetData>
    <row r="1" spans="1:22" s="62" customFormat="1" ht="20.05" customHeight="1" x14ac:dyDescent="0.5">
      <c r="A1" s="23" t="s">
        <v>254</v>
      </c>
      <c r="B1" s="23" t="s">
        <v>14</v>
      </c>
      <c r="C1" s="23" t="s">
        <v>255</v>
      </c>
      <c r="D1" s="23" t="s">
        <v>256</v>
      </c>
      <c r="E1" s="23" t="s">
        <v>257</v>
      </c>
      <c r="F1" s="23" t="s">
        <v>258</v>
      </c>
      <c r="G1" s="23" t="s">
        <v>259</v>
      </c>
      <c r="H1" s="23" t="s">
        <v>260</v>
      </c>
      <c r="I1" s="25" t="s">
        <v>261</v>
      </c>
      <c r="J1" s="25" t="s">
        <v>262</v>
      </c>
      <c r="K1" s="23" t="s">
        <v>263</v>
      </c>
      <c r="L1" s="23" t="s">
        <v>264</v>
      </c>
      <c r="M1" s="25" t="s">
        <v>265</v>
      </c>
      <c r="N1" s="25" t="s">
        <v>266</v>
      </c>
      <c r="O1" s="25" t="s">
        <v>267</v>
      </c>
      <c r="P1" s="25" t="s">
        <v>268</v>
      </c>
      <c r="Q1" s="25" t="s">
        <v>269</v>
      </c>
      <c r="R1" s="23" t="s">
        <v>270</v>
      </c>
      <c r="S1" s="23" t="s">
        <v>271</v>
      </c>
      <c r="T1" s="23" t="s">
        <v>272</v>
      </c>
      <c r="U1" s="23" t="s">
        <v>273</v>
      </c>
      <c r="V1" s="23" t="s">
        <v>274</v>
      </c>
    </row>
    <row r="2" spans="1:22" s="121" customFormat="1" ht="10" customHeight="1" x14ac:dyDescent="0.35">
      <c r="A2" s="116" t="s">
        <v>87</v>
      </c>
      <c r="B2" s="117">
        <v>1</v>
      </c>
      <c r="C2" s="117"/>
      <c r="D2" s="116" t="s">
        <v>275</v>
      </c>
      <c r="E2" s="118" t="s">
        <v>276</v>
      </c>
      <c r="F2" s="117" t="s">
        <v>277</v>
      </c>
      <c r="G2" s="117" t="s">
        <v>278</v>
      </c>
      <c r="H2" s="127" t="s">
        <v>93</v>
      </c>
      <c r="I2" s="117" t="s">
        <v>279</v>
      </c>
      <c r="J2" s="117"/>
      <c r="K2" s="119" t="s">
        <v>280</v>
      </c>
      <c r="L2" s="175" t="s">
        <v>281</v>
      </c>
      <c r="M2" s="119"/>
      <c r="N2" s="119"/>
      <c r="O2" s="119"/>
      <c r="P2" s="119"/>
      <c r="Q2" s="119"/>
      <c r="R2" s="175"/>
      <c r="S2" s="120"/>
      <c r="T2" s="118"/>
      <c r="U2" s="117" t="s">
        <v>282</v>
      </c>
      <c r="V2" s="117"/>
    </row>
    <row r="3" spans="1:22" s="121" customFormat="1" ht="10" customHeight="1" x14ac:dyDescent="0.5">
      <c r="A3" s="118" t="s">
        <v>283</v>
      </c>
      <c r="B3" s="117">
        <v>8</v>
      </c>
      <c r="C3" s="122"/>
      <c r="D3" s="116" t="s">
        <v>284</v>
      </c>
      <c r="E3" s="118" t="s">
        <v>285</v>
      </c>
      <c r="F3" s="122" t="s">
        <v>277</v>
      </c>
      <c r="G3" s="122" t="s">
        <v>278</v>
      </c>
      <c r="H3" s="122" t="s">
        <v>278</v>
      </c>
      <c r="I3" s="122" t="s">
        <v>286</v>
      </c>
      <c r="J3" s="122"/>
      <c r="K3" s="124" t="s">
        <v>280</v>
      </c>
      <c r="L3" s="176" t="s">
        <v>287</v>
      </c>
      <c r="M3" s="124"/>
      <c r="N3" s="124"/>
      <c r="O3" s="124"/>
      <c r="P3" s="124"/>
      <c r="Q3" s="124"/>
      <c r="R3" s="176"/>
      <c r="S3" s="118"/>
      <c r="T3" s="118"/>
      <c r="U3" s="117" t="s">
        <v>288</v>
      </c>
      <c r="V3" s="117"/>
    </row>
    <row r="4" spans="1:22" s="121" customFormat="1" ht="10" customHeight="1" x14ac:dyDescent="0.5">
      <c r="A4" s="118" t="s">
        <v>283</v>
      </c>
      <c r="B4" s="117">
        <v>16</v>
      </c>
      <c r="C4" s="118"/>
      <c r="D4" s="116" t="s">
        <v>289</v>
      </c>
      <c r="E4" s="118" t="s">
        <v>290</v>
      </c>
      <c r="F4" s="118" t="s">
        <v>277</v>
      </c>
      <c r="G4" s="118" t="s">
        <v>291</v>
      </c>
      <c r="H4" s="118" t="s">
        <v>291</v>
      </c>
      <c r="I4" s="118" t="s">
        <v>279</v>
      </c>
      <c r="J4" s="118"/>
      <c r="K4" s="118" t="s">
        <v>280</v>
      </c>
      <c r="L4" s="118" t="s">
        <v>287</v>
      </c>
      <c r="M4" s="118"/>
      <c r="N4" s="118"/>
      <c r="O4" s="118"/>
      <c r="P4" s="118"/>
      <c r="Q4" s="118"/>
      <c r="R4" s="118"/>
      <c r="S4" s="118"/>
      <c r="T4" s="118"/>
      <c r="U4" s="117" t="s">
        <v>288</v>
      </c>
      <c r="V4" s="116"/>
    </row>
    <row r="5" spans="1:22" s="121" customFormat="1" ht="10" customHeight="1" x14ac:dyDescent="0.5">
      <c r="A5" s="125" t="s">
        <v>292</v>
      </c>
      <c r="B5" s="117">
        <v>4</v>
      </c>
      <c r="C5" s="125"/>
      <c r="D5" s="116" t="s">
        <v>293</v>
      </c>
      <c r="E5" s="125" t="s">
        <v>294</v>
      </c>
      <c r="F5" s="125" t="s">
        <v>277</v>
      </c>
      <c r="G5" s="125" t="s">
        <v>295</v>
      </c>
      <c r="H5" s="118" t="s">
        <v>295</v>
      </c>
      <c r="I5" s="118" t="s">
        <v>296</v>
      </c>
      <c r="J5" s="118"/>
      <c r="K5" s="118" t="s">
        <v>280</v>
      </c>
      <c r="L5" s="118" t="s">
        <v>287</v>
      </c>
      <c r="M5" s="118"/>
      <c r="N5" s="118"/>
      <c r="O5" s="118"/>
      <c r="P5" s="118"/>
      <c r="Q5" s="118"/>
      <c r="R5" s="118"/>
      <c r="S5" s="118"/>
      <c r="T5" s="118"/>
      <c r="U5" s="117" t="s">
        <v>282</v>
      </c>
    </row>
    <row r="6" spans="1:22" s="121" customFormat="1" ht="10" customHeight="1" x14ac:dyDescent="0.35">
      <c r="A6" s="125" t="s">
        <v>292</v>
      </c>
      <c r="B6" s="117">
        <v>16</v>
      </c>
      <c r="C6" s="125"/>
      <c r="D6" s="116" t="s">
        <v>297</v>
      </c>
      <c r="E6" s="125" t="s">
        <v>298</v>
      </c>
      <c r="F6" s="125" t="s">
        <v>277</v>
      </c>
      <c r="G6" s="125" t="s">
        <v>93</v>
      </c>
      <c r="H6" s="127" t="s">
        <v>93</v>
      </c>
      <c r="I6" s="118" t="s">
        <v>299</v>
      </c>
      <c r="J6" s="118"/>
      <c r="K6" s="118" t="s">
        <v>280</v>
      </c>
      <c r="L6" s="118" t="s">
        <v>287</v>
      </c>
      <c r="M6" s="118"/>
      <c r="N6" s="118"/>
      <c r="O6" s="118"/>
      <c r="P6" s="118"/>
      <c r="Q6" s="118"/>
      <c r="R6" s="118"/>
      <c r="S6" s="118"/>
      <c r="T6" s="118"/>
      <c r="U6" s="117" t="s">
        <v>282</v>
      </c>
    </row>
    <row r="7" spans="1:22" s="121" customFormat="1" ht="10" customHeight="1" x14ac:dyDescent="0.35">
      <c r="A7" s="123" t="s">
        <v>292</v>
      </c>
      <c r="B7" s="117">
        <v>6</v>
      </c>
      <c r="C7" s="122"/>
      <c r="D7" s="116" t="s">
        <v>297</v>
      </c>
      <c r="E7" s="125" t="s">
        <v>300</v>
      </c>
      <c r="F7" s="122" t="s">
        <v>277</v>
      </c>
      <c r="G7" s="122" t="s">
        <v>93</v>
      </c>
      <c r="H7" s="127" t="s">
        <v>93</v>
      </c>
      <c r="I7" s="122" t="s">
        <v>279</v>
      </c>
      <c r="J7" s="122"/>
      <c r="K7" s="124" t="s">
        <v>280</v>
      </c>
      <c r="L7" s="176" t="s">
        <v>287</v>
      </c>
      <c r="M7" s="124"/>
      <c r="N7" s="124"/>
      <c r="O7" s="124"/>
      <c r="P7" s="124"/>
      <c r="Q7" s="124"/>
      <c r="R7" s="176"/>
      <c r="S7" s="118"/>
      <c r="T7" s="118"/>
      <c r="U7" s="117" t="s">
        <v>282</v>
      </c>
      <c r="V7" s="117"/>
    </row>
    <row r="8" spans="1:22" s="121" customFormat="1" ht="10" customHeight="1" x14ac:dyDescent="0.5">
      <c r="A8" s="125" t="s">
        <v>292</v>
      </c>
      <c r="B8" s="117">
        <v>16</v>
      </c>
      <c r="C8" s="125"/>
      <c r="D8" s="116" t="s">
        <v>289</v>
      </c>
      <c r="E8" s="125" t="s">
        <v>301</v>
      </c>
      <c r="F8" s="125" t="s">
        <v>277</v>
      </c>
      <c r="G8" s="125" t="s">
        <v>302</v>
      </c>
      <c r="H8" s="118" t="s">
        <v>302</v>
      </c>
      <c r="I8" s="118" t="s">
        <v>279</v>
      </c>
      <c r="J8" s="118"/>
      <c r="K8" s="118" t="s">
        <v>280</v>
      </c>
      <c r="L8" s="118" t="s">
        <v>287</v>
      </c>
      <c r="M8" s="118"/>
      <c r="N8" s="118"/>
      <c r="O8" s="118"/>
      <c r="P8" s="118"/>
      <c r="Q8" s="118"/>
      <c r="R8" s="118"/>
      <c r="S8" s="118"/>
      <c r="T8" s="118"/>
      <c r="U8" s="117" t="s">
        <v>282</v>
      </c>
    </row>
    <row r="9" spans="1:22" s="121" customFormat="1" ht="10" customHeight="1" x14ac:dyDescent="0.5">
      <c r="A9" s="125" t="s">
        <v>283</v>
      </c>
      <c r="B9" s="117">
        <v>8</v>
      </c>
      <c r="C9" s="125"/>
      <c r="D9" s="116" t="s">
        <v>303</v>
      </c>
      <c r="E9" s="125" t="s">
        <v>304</v>
      </c>
      <c r="F9" s="125" t="s">
        <v>277</v>
      </c>
      <c r="G9" s="125" t="s">
        <v>93</v>
      </c>
      <c r="H9" s="118" t="s">
        <v>295</v>
      </c>
      <c r="I9" s="118" t="s">
        <v>305</v>
      </c>
      <c r="J9" s="118"/>
      <c r="K9" s="118" t="s">
        <v>280</v>
      </c>
      <c r="L9" s="118" t="s">
        <v>306</v>
      </c>
      <c r="M9" s="118"/>
      <c r="N9" s="118"/>
      <c r="O9" s="118"/>
      <c r="P9" s="118"/>
      <c r="Q9" s="118"/>
      <c r="R9" s="118"/>
      <c r="S9" s="118"/>
      <c r="T9" s="118"/>
      <c r="U9" s="117" t="s">
        <v>288</v>
      </c>
    </row>
    <row r="10" spans="1:22" s="121" customFormat="1" ht="10" customHeight="1" x14ac:dyDescent="0.5">
      <c r="A10" s="125" t="s">
        <v>283</v>
      </c>
      <c r="B10" s="117">
        <v>16</v>
      </c>
      <c r="C10" s="125"/>
      <c r="D10" s="116" t="s">
        <v>289</v>
      </c>
      <c r="E10" s="125" t="s">
        <v>307</v>
      </c>
      <c r="F10" s="125" t="s">
        <v>277</v>
      </c>
      <c r="G10" s="125" t="s">
        <v>308</v>
      </c>
      <c r="H10" s="118" t="s">
        <v>308</v>
      </c>
      <c r="I10" s="118" t="s">
        <v>279</v>
      </c>
      <c r="J10" s="118"/>
      <c r="K10" s="118" t="s">
        <v>280</v>
      </c>
      <c r="L10" s="118" t="s">
        <v>287</v>
      </c>
      <c r="M10" s="118"/>
      <c r="N10" s="118"/>
      <c r="O10" s="118"/>
      <c r="P10" s="118"/>
      <c r="Q10" s="118"/>
      <c r="R10" s="118"/>
      <c r="S10" s="118"/>
      <c r="T10" s="118"/>
      <c r="U10" s="117" t="s">
        <v>288</v>
      </c>
    </row>
    <row r="11" spans="1:22" s="121" customFormat="1" ht="10" customHeight="1" x14ac:dyDescent="0.35">
      <c r="A11" s="126" t="s">
        <v>87</v>
      </c>
      <c r="B11" s="117">
        <v>2</v>
      </c>
      <c r="C11" s="126"/>
      <c r="D11" s="116" t="s">
        <v>303</v>
      </c>
      <c r="E11" s="126" t="s">
        <v>309</v>
      </c>
      <c r="F11" s="126" t="s">
        <v>277</v>
      </c>
      <c r="G11" s="126" t="s">
        <v>93</v>
      </c>
      <c r="H11" s="118" t="s">
        <v>295</v>
      </c>
      <c r="I11" s="127" t="s">
        <v>305</v>
      </c>
      <c r="J11" s="127"/>
      <c r="K11" s="127" t="s">
        <v>280</v>
      </c>
      <c r="L11" s="127" t="s">
        <v>306</v>
      </c>
      <c r="M11" s="127"/>
      <c r="N11" s="127"/>
      <c r="O11" s="127"/>
      <c r="P11" s="127"/>
      <c r="Q11" s="127"/>
      <c r="R11" s="127"/>
      <c r="S11" s="127"/>
      <c r="T11" s="127"/>
      <c r="U11" s="117" t="s">
        <v>288</v>
      </c>
    </row>
    <row r="12" spans="1:22" s="121" customFormat="1" ht="10" customHeight="1" x14ac:dyDescent="0.35">
      <c r="A12" s="126" t="s">
        <v>87</v>
      </c>
      <c r="B12" s="117">
        <v>2</v>
      </c>
      <c r="C12" s="126"/>
      <c r="D12" s="116" t="s">
        <v>310</v>
      </c>
      <c r="E12" s="126" t="s">
        <v>311</v>
      </c>
      <c r="F12" s="126" t="s">
        <v>277</v>
      </c>
      <c r="G12" s="126" t="s">
        <v>93</v>
      </c>
      <c r="H12" s="127" t="s">
        <v>93</v>
      </c>
      <c r="I12" s="127" t="s">
        <v>312</v>
      </c>
      <c r="J12" s="127"/>
      <c r="K12" s="127" t="s">
        <v>280</v>
      </c>
      <c r="L12" s="127" t="s">
        <v>313</v>
      </c>
      <c r="M12" s="127"/>
      <c r="N12" s="127"/>
      <c r="O12" s="127"/>
      <c r="P12" s="127"/>
      <c r="Q12" s="127"/>
      <c r="R12" s="127"/>
      <c r="S12" s="127"/>
      <c r="T12" s="127"/>
      <c r="U12" s="117" t="s">
        <v>282</v>
      </c>
    </row>
    <row r="13" spans="1:22" s="121" customFormat="1" ht="10" customHeight="1" x14ac:dyDescent="0.35">
      <c r="A13" s="126" t="s">
        <v>292</v>
      </c>
      <c r="B13" s="117">
        <v>7</v>
      </c>
      <c r="C13" s="126"/>
      <c r="D13" s="116" t="s">
        <v>314</v>
      </c>
      <c r="E13" s="126" t="s">
        <v>315</v>
      </c>
      <c r="F13" s="126" t="s">
        <v>277</v>
      </c>
      <c r="G13" s="126" t="s">
        <v>93</v>
      </c>
      <c r="H13" s="127" t="s">
        <v>93</v>
      </c>
      <c r="I13" s="127" t="s">
        <v>93</v>
      </c>
      <c r="J13" s="127"/>
      <c r="K13" s="127" t="s">
        <v>280</v>
      </c>
      <c r="L13" s="127" t="s">
        <v>316</v>
      </c>
      <c r="M13" s="127"/>
      <c r="N13" s="127"/>
      <c r="O13" s="127"/>
      <c r="P13" s="127"/>
      <c r="Q13" s="127"/>
      <c r="R13" s="127"/>
      <c r="S13" s="127"/>
      <c r="T13" s="127"/>
      <c r="U13" s="117" t="s">
        <v>282</v>
      </c>
    </row>
    <row r="14" spans="1:22" s="121" customFormat="1" ht="10" customHeight="1" x14ac:dyDescent="0.35">
      <c r="A14" s="126" t="s">
        <v>292</v>
      </c>
      <c r="B14" s="117">
        <v>6</v>
      </c>
      <c r="C14" s="126"/>
      <c r="D14" s="116" t="s">
        <v>317</v>
      </c>
      <c r="E14" s="126" t="s">
        <v>318</v>
      </c>
      <c r="F14" s="126" t="s">
        <v>277</v>
      </c>
      <c r="G14" s="126" t="s">
        <v>93</v>
      </c>
      <c r="H14" s="127" t="s">
        <v>93</v>
      </c>
      <c r="I14" s="126" t="s">
        <v>93</v>
      </c>
      <c r="J14" s="127"/>
      <c r="K14" s="127" t="s">
        <v>280</v>
      </c>
      <c r="L14" s="127" t="s">
        <v>319</v>
      </c>
      <c r="M14" s="127"/>
      <c r="N14" s="127"/>
      <c r="O14" s="127"/>
      <c r="P14" s="127"/>
      <c r="Q14" s="127"/>
      <c r="R14" s="127"/>
      <c r="S14" s="127"/>
      <c r="T14" s="127"/>
      <c r="U14" s="117" t="s">
        <v>282</v>
      </c>
    </row>
    <row r="15" spans="1:22" s="121" customFormat="1" ht="10" customHeight="1" x14ac:dyDescent="0.35">
      <c r="A15" s="118" t="s">
        <v>292</v>
      </c>
      <c r="B15" s="117">
        <v>16</v>
      </c>
      <c r="C15" s="118"/>
      <c r="D15" s="116" t="s">
        <v>289</v>
      </c>
      <c r="E15" s="118" t="s">
        <v>320</v>
      </c>
      <c r="F15" s="118" t="s">
        <v>277</v>
      </c>
      <c r="G15" s="118" t="s">
        <v>321</v>
      </c>
      <c r="H15" s="118" t="s">
        <v>321</v>
      </c>
      <c r="I15" s="118" t="s">
        <v>322</v>
      </c>
      <c r="J15" s="118"/>
      <c r="K15" s="118" t="s">
        <v>280</v>
      </c>
      <c r="L15" s="118" t="s">
        <v>323</v>
      </c>
      <c r="M15" s="118"/>
      <c r="N15" s="118"/>
      <c r="O15" s="118"/>
      <c r="P15" s="118"/>
      <c r="Q15" s="118"/>
      <c r="R15" s="118"/>
      <c r="S15" s="127"/>
      <c r="T15" s="127"/>
      <c r="U15" s="117" t="s">
        <v>282</v>
      </c>
    </row>
    <row r="16" spans="1:22" s="121" customFormat="1" ht="10" customHeight="1" x14ac:dyDescent="0.35">
      <c r="A16" s="126" t="s">
        <v>283</v>
      </c>
      <c r="B16" s="117">
        <v>4</v>
      </c>
      <c r="C16" s="126"/>
      <c r="D16" s="116" t="s">
        <v>324</v>
      </c>
      <c r="E16" s="126" t="s">
        <v>325</v>
      </c>
      <c r="F16" s="126" t="s">
        <v>277</v>
      </c>
      <c r="G16" s="126" t="s">
        <v>93</v>
      </c>
      <c r="H16" s="127" t="s">
        <v>93</v>
      </c>
      <c r="I16" s="127" t="s">
        <v>93</v>
      </c>
      <c r="J16" s="127"/>
      <c r="K16" s="127" t="s">
        <v>280</v>
      </c>
      <c r="L16" s="127" t="s">
        <v>326</v>
      </c>
      <c r="M16" s="127"/>
      <c r="N16" s="127"/>
      <c r="O16" s="127"/>
      <c r="P16" s="127"/>
      <c r="Q16" s="127"/>
      <c r="R16" s="127"/>
      <c r="S16" s="127"/>
      <c r="T16" s="127"/>
      <c r="U16" s="117" t="s">
        <v>288</v>
      </c>
    </row>
    <row r="17" spans="1:21" s="121" customFormat="1" ht="10" customHeight="1" x14ac:dyDescent="0.35">
      <c r="A17" s="126" t="s">
        <v>292</v>
      </c>
      <c r="B17" s="117">
        <v>4</v>
      </c>
      <c r="C17" s="126"/>
      <c r="D17" s="116" t="s">
        <v>317</v>
      </c>
      <c r="E17" s="126" t="s">
        <v>327</v>
      </c>
      <c r="F17" s="126" t="s">
        <v>277</v>
      </c>
      <c r="G17" s="126" t="s">
        <v>93</v>
      </c>
      <c r="H17" s="127" t="s">
        <v>93</v>
      </c>
      <c r="I17" s="127" t="s">
        <v>93</v>
      </c>
      <c r="J17" s="127"/>
      <c r="K17" s="127" t="s">
        <v>280</v>
      </c>
      <c r="L17" s="127" t="s">
        <v>328</v>
      </c>
      <c r="M17" s="127"/>
      <c r="N17" s="127"/>
      <c r="O17" s="127"/>
      <c r="P17" s="127"/>
      <c r="Q17" s="127"/>
      <c r="R17" s="127"/>
      <c r="S17" s="127"/>
      <c r="T17" s="127"/>
      <c r="U17" s="117" t="s">
        <v>282</v>
      </c>
    </row>
    <row r="18" spans="1:21" s="121" customFormat="1" ht="10" customHeight="1" x14ac:dyDescent="0.35">
      <c r="A18" s="126" t="s">
        <v>292</v>
      </c>
      <c r="B18" s="117">
        <v>4</v>
      </c>
      <c r="C18" s="126"/>
      <c r="D18" s="116" t="s">
        <v>329</v>
      </c>
      <c r="E18" s="126" t="s">
        <v>330</v>
      </c>
      <c r="F18" s="126" t="s">
        <v>277</v>
      </c>
      <c r="G18" s="126" t="s">
        <v>295</v>
      </c>
      <c r="H18" s="127" t="s">
        <v>295</v>
      </c>
      <c r="I18" s="127" t="s">
        <v>279</v>
      </c>
      <c r="J18" s="127"/>
      <c r="K18" s="127" t="s">
        <v>280</v>
      </c>
      <c r="L18" s="127" t="s">
        <v>331</v>
      </c>
      <c r="M18" s="127"/>
      <c r="N18" s="127"/>
      <c r="O18" s="127"/>
      <c r="P18" s="127"/>
      <c r="Q18" s="127"/>
      <c r="R18" s="127"/>
      <c r="S18" s="127"/>
      <c r="T18" s="127"/>
      <c r="U18" s="117" t="s">
        <v>282</v>
      </c>
    </row>
    <row r="19" spans="1:21" ht="10" customHeight="1" x14ac:dyDescent="0.35">
      <c r="A19" s="126" t="s">
        <v>283</v>
      </c>
      <c r="B19" s="117">
        <v>2</v>
      </c>
      <c r="C19" s="126"/>
      <c r="D19" s="116" t="s">
        <v>324</v>
      </c>
      <c r="E19" s="126" t="s">
        <v>332</v>
      </c>
      <c r="F19" s="126" t="s">
        <v>277</v>
      </c>
      <c r="G19" s="126" t="s">
        <v>93</v>
      </c>
      <c r="H19" s="127" t="s">
        <v>93</v>
      </c>
      <c r="I19" s="127" t="s">
        <v>93</v>
      </c>
      <c r="J19" s="127"/>
      <c r="K19" s="127" t="s">
        <v>280</v>
      </c>
      <c r="L19" s="127" t="s">
        <v>328</v>
      </c>
      <c r="M19" s="127"/>
      <c r="N19" s="127"/>
      <c r="O19" s="127"/>
      <c r="P19" s="127"/>
      <c r="Q19" s="127"/>
      <c r="R19" s="127"/>
      <c r="S19" s="127"/>
      <c r="T19" s="127"/>
      <c r="U19" s="117" t="s">
        <v>288</v>
      </c>
    </row>
    <row r="20" spans="1:21" ht="10" customHeight="1" x14ac:dyDescent="0.35">
      <c r="A20" s="126" t="s">
        <v>333</v>
      </c>
      <c r="B20" s="117">
        <v>2</v>
      </c>
      <c r="C20" s="126"/>
      <c r="D20" s="116" t="s">
        <v>284</v>
      </c>
      <c r="E20" s="126" t="s">
        <v>334</v>
      </c>
      <c r="F20" s="126" t="s">
        <v>277</v>
      </c>
      <c r="G20" s="126" t="s">
        <v>93</v>
      </c>
      <c r="H20" s="127" t="s">
        <v>93</v>
      </c>
      <c r="I20" s="127" t="s">
        <v>296</v>
      </c>
      <c r="J20" s="127"/>
      <c r="K20" s="127" t="s">
        <v>280</v>
      </c>
      <c r="L20" s="127" t="s">
        <v>287</v>
      </c>
      <c r="M20" s="127"/>
      <c r="N20" s="127"/>
      <c r="O20" s="127"/>
      <c r="P20" s="127"/>
      <c r="Q20" s="127"/>
      <c r="R20" s="127"/>
      <c r="S20" s="127"/>
      <c r="T20" s="127"/>
      <c r="U20" s="117" t="s">
        <v>288</v>
      </c>
    </row>
    <row r="21" spans="1:21" s="121" customFormat="1" ht="10" customHeight="1" x14ac:dyDescent="0.35">
      <c r="A21" s="126" t="s">
        <v>292</v>
      </c>
      <c r="B21" s="117">
        <v>16</v>
      </c>
      <c r="C21" s="126"/>
      <c r="D21" s="116" t="s">
        <v>289</v>
      </c>
      <c r="E21" s="126" t="s">
        <v>335</v>
      </c>
      <c r="F21" s="126" t="s">
        <v>277</v>
      </c>
      <c r="G21" s="126" t="s">
        <v>336</v>
      </c>
      <c r="H21" s="127" t="s">
        <v>336</v>
      </c>
      <c r="I21" s="127" t="s">
        <v>279</v>
      </c>
      <c r="J21" s="127"/>
      <c r="K21" s="127" t="s">
        <v>280</v>
      </c>
      <c r="L21" s="127" t="s">
        <v>319</v>
      </c>
      <c r="M21" s="127"/>
      <c r="N21" s="127"/>
      <c r="O21" s="127"/>
      <c r="P21" s="127"/>
      <c r="Q21" s="127"/>
      <c r="R21" s="127"/>
      <c r="S21" s="127"/>
      <c r="T21" s="127"/>
      <c r="U21" s="117" t="s">
        <v>282</v>
      </c>
    </row>
    <row r="22" spans="1:21" s="121" customFormat="1" ht="10" customHeight="1" x14ac:dyDescent="0.35">
      <c r="A22" s="126" t="s">
        <v>292</v>
      </c>
      <c r="B22" s="117">
        <v>1</v>
      </c>
      <c r="C22" s="126"/>
      <c r="D22" s="116" t="s">
        <v>337</v>
      </c>
      <c r="E22" s="126" t="s">
        <v>338</v>
      </c>
      <c r="F22" s="126" t="s">
        <v>277</v>
      </c>
      <c r="G22" s="126" t="s">
        <v>295</v>
      </c>
      <c r="H22" s="127" t="s">
        <v>295</v>
      </c>
      <c r="I22" s="127" t="s">
        <v>279</v>
      </c>
      <c r="J22" s="127"/>
      <c r="K22" s="127" t="s">
        <v>280</v>
      </c>
      <c r="L22" s="127" t="s">
        <v>339</v>
      </c>
      <c r="M22" s="127"/>
      <c r="N22" s="127"/>
      <c r="O22" s="127"/>
      <c r="P22" s="127"/>
      <c r="Q22" s="127"/>
      <c r="R22" s="127"/>
      <c r="S22" s="127"/>
      <c r="T22" s="127"/>
      <c r="U22" s="117" t="s">
        <v>282</v>
      </c>
    </row>
    <row r="23" spans="1:21" ht="10" customHeight="1" x14ac:dyDescent="0.35">
      <c r="A23" s="126" t="s">
        <v>333</v>
      </c>
      <c r="B23" s="117">
        <v>2</v>
      </c>
      <c r="C23" s="126"/>
      <c r="D23" s="116" t="s">
        <v>284</v>
      </c>
      <c r="E23" s="126" t="s">
        <v>340</v>
      </c>
      <c r="F23" s="126" t="s">
        <v>277</v>
      </c>
      <c r="G23" s="126" t="s">
        <v>295</v>
      </c>
      <c r="H23" s="127" t="s">
        <v>295</v>
      </c>
      <c r="I23" s="127" t="s">
        <v>341</v>
      </c>
      <c r="J23" s="127"/>
      <c r="K23" s="127" t="s">
        <v>280</v>
      </c>
      <c r="L23" s="127" t="s">
        <v>339</v>
      </c>
      <c r="M23" s="127"/>
      <c r="N23" s="127"/>
      <c r="O23" s="127"/>
      <c r="P23" s="127"/>
      <c r="Q23" s="127"/>
      <c r="R23" s="127"/>
      <c r="S23" s="127"/>
      <c r="T23" s="127"/>
      <c r="U23" s="117" t="s">
        <v>282</v>
      </c>
    </row>
    <row r="24" spans="1:21" s="121" customFormat="1" ht="10" customHeight="1" x14ac:dyDescent="0.35">
      <c r="A24" s="126" t="s">
        <v>87</v>
      </c>
      <c r="B24" s="117">
        <v>30</v>
      </c>
      <c r="C24" s="126"/>
      <c r="D24" s="116" t="s">
        <v>342</v>
      </c>
      <c r="E24" s="126" t="s">
        <v>343</v>
      </c>
      <c r="F24" s="126" t="s">
        <v>277</v>
      </c>
      <c r="G24" s="126" t="s">
        <v>295</v>
      </c>
      <c r="H24" s="127" t="s">
        <v>295</v>
      </c>
      <c r="I24" s="127" t="s">
        <v>279</v>
      </c>
      <c r="J24" s="127"/>
      <c r="K24" s="127" t="s">
        <v>280</v>
      </c>
      <c r="L24" s="127" t="s">
        <v>344</v>
      </c>
      <c r="M24" s="127"/>
      <c r="N24" s="127"/>
      <c r="O24" s="127"/>
      <c r="P24" s="127"/>
      <c r="Q24" s="127"/>
      <c r="R24" s="127"/>
      <c r="S24" s="127"/>
      <c r="T24" s="127"/>
      <c r="U24" s="117" t="s">
        <v>288</v>
      </c>
    </row>
    <row r="25" spans="1:21" s="121" customFormat="1" ht="10" customHeight="1" x14ac:dyDescent="0.35">
      <c r="A25" s="126" t="s">
        <v>292</v>
      </c>
      <c r="B25" s="117">
        <v>12</v>
      </c>
      <c r="C25" s="126"/>
      <c r="D25" s="116" t="s">
        <v>297</v>
      </c>
      <c r="E25" s="126" t="s">
        <v>345</v>
      </c>
      <c r="F25" s="126" t="s">
        <v>277</v>
      </c>
      <c r="G25" s="126" t="s">
        <v>93</v>
      </c>
      <c r="H25" s="127" t="s">
        <v>93</v>
      </c>
      <c r="I25" s="127" t="s">
        <v>346</v>
      </c>
      <c r="J25" s="127"/>
      <c r="K25" s="127" t="s">
        <v>280</v>
      </c>
      <c r="L25" s="127" t="s">
        <v>339</v>
      </c>
      <c r="M25" s="127"/>
      <c r="N25" s="127"/>
      <c r="O25" s="127"/>
      <c r="P25" s="127"/>
      <c r="Q25" s="127"/>
      <c r="R25" s="127"/>
      <c r="S25" s="127"/>
      <c r="T25" s="127"/>
      <c r="U25" s="117" t="s">
        <v>282</v>
      </c>
    </row>
    <row r="26" spans="1:21" ht="10" customHeight="1" x14ac:dyDescent="0.35">
      <c r="A26" s="126" t="s">
        <v>87</v>
      </c>
      <c r="B26" s="117">
        <v>10</v>
      </c>
      <c r="C26" s="126"/>
      <c r="D26" s="116" t="s">
        <v>342</v>
      </c>
      <c r="E26" s="126" t="s">
        <v>347</v>
      </c>
      <c r="F26" s="126" t="s">
        <v>277</v>
      </c>
      <c r="G26" s="126" t="s">
        <v>295</v>
      </c>
      <c r="H26" s="127" t="s">
        <v>295</v>
      </c>
      <c r="I26" s="127" t="s">
        <v>279</v>
      </c>
      <c r="J26" s="127"/>
      <c r="K26" s="127" t="s">
        <v>280</v>
      </c>
      <c r="L26" s="127" t="s">
        <v>344</v>
      </c>
      <c r="M26" s="127"/>
      <c r="N26" s="127"/>
      <c r="O26" s="127"/>
      <c r="P26" s="127"/>
      <c r="Q26" s="127"/>
      <c r="R26" s="127"/>
      <c r="S26" s="127"/>
      <c r="T26" s="127"/>
      <c r="U26" s="117" t="s">
        <v>288</v>
      </c>
    </row>
    <row r="27" spans="1:21" s="121" customFormat="1" ht="10" customHeight="1" x14ac:dyDescent="0.35">
      <c r="A27" s="126" t="s">
        <v>87</v>
      </c>
      <c r="B27" s="117">
        <v>10</v>
      </c>
      <c r="C27" s="126"/>
      <c r="D27" s="116" t="s">
        <v>342</v>
      </c>
      <c r="E27" s="126" t="s">
        <v>348</v>
      </c>
      <c r="F27" s="126" t="s">
        <v>277</v>
      </c>
      <c r="G27" s="126" t="s">
        <v>295</v>
      </c>
      <c r="H27" s="127" t="s">
        <v>295</v>
      </c>
      <c r="I27" s="127" t="s">
        <v>279</v>
      </c>
      <c r="J27" s="127"/>
      <c r="K27" s="127" t="s">
        <v>280</v>
      </c>
      <c r="L27" s="127" t="s">
        <v>344</v>
      </c>
      <c r="M27" s="127"/>
      <c r="N27" s="127"/>
      <c r="O27" s="127"/>
      <c r="P27" s="127"/>
      <c r="Q27" s="127"/>
      <c r="R27" s="127"/>
      <c r="S27" s="127"/>
      <c r="T27" s="127"/>
      <c r="U27" s="117" t="s">
        <v>288</v>
      </c>
    </row>
    <row r="28" spans="1:21" ht="10" customHeight="1" x14ac:dyDescent="0.35">
      <c r="A28" s="126" t="s">
        <v>87</v>
      </c>
      <c r="B28" s="117">
        <v>10</v>
      </c>
      <c r="C28" s="126"/>
      <c r="D28" s="116" t="s">
        <v>342</v>
      </c>
      <c r="E28" s="126" t="s">
        <v>349</v>
      </c>
      <c r="F28" s="126" t="s">
        <v>277</v>
      </c>
      <c r="G28" s="126" t="s">
        <v>295</v>
      </c>
      <c r="H28" s="127" t="s">
        <v>295</v>
      </c>
      <c r="I28" s="127" t="s">
        <v>279</v>
      </c>
      <c r="J28" s="127"/>
      <c r="K28" s="127" t="s">
        <v>280</v>
      </c>
      <c r="L28" s="127" t="s">
        <v>344</v>
      </c>
      <c r="M28" s="127"/>
      <c r="N28" s="127"/>
      <c r="O28" s="127"/>
      <c r="P28" s="127"/>
      <c r="Q28" s="127"/>
      <c r="R28" s="127"/>
      <c r="S28" s="127"/>
      <c r="T28" s="127"/>
      <c r="U28" s="117" t="s">
        <v>288</v>
      </c>
    </row>
    <row r="29" spans="1:21" s="121" customFormat="1" ht="10" customHeight="1" x14ac:dyDescent="0.35">
      <c r="A29" s="126" t="s">
        <v>292</v>
      </c>
      <c r="B29" s="117">
        <v>16</v>
      </c>
      <c r="C29" s="126"/>
      <c r="D29" s="116" t="s">
        <v>289</v>
      </c>
      <c r="E29" s="126" t="s">
        <v>350</v>
      </c>
      <c r="F29" s="126" t="s">
        <v>277</v>
      </c>
      <c r="G29" s="126" t="s">
        <v>351</v>
      </c>
      <c r="H29" s="127" t="s">
        <v>351</v>
      </c>
      <c r="I29" s="127" t="s">
        <v>93</v>
      </c>
      <c r="J29" s="127"/>
      <c r="K29" s="127" t="s">
        <v>280</v>
      </c>
      <c r="L29" s="127" t="s">
        <v>339</v>
      </c>
      <c r="M29" s="127"/>
      <c r="N29" s="127"/>
      <c r="O29" s="127"/>
      <c r="P29" s="127"/>
      <c r="Q29" s="127"/>
      <c r="R29" s="127"/>
      <c r="S29" s="127"/>
      <c r="T29" s="127"/>
      <c r="U29" s="117" t="s">
        <v>282</v>
      </c>
    </row>
    <row r="30" spans="1:21" ht="10" customHeight="1" x14ac:dyDescent="0.35">
      <c r="A30" s="126" t="s">
        <v>87</v>
      </c>
      <c r="B30" s="117">
        <v>5</v>
      </c>
      <c r="C30" s="126"/>
      <c r="D30" s="116" t="s">
        <v>352</v>
      </c>
      <c r="E30" s="126" t="s">
        <v>353</v>
      </c>
      <c r="F30" s="126" t="s">
        <v>277</v>
      </c>
      <c r="G30" s="126" t="s">
        <v>93</v>
      </c>
      <c r="H30" s="127" t="s">
        <v>93</v>
      </c>
      <c r="I30" s="127" t="s">
        <v>296</v>
      </c>
      <c r="J30" s="127"/>
      <c r="K30" s="127" t="s">
        <v>280</v>
      </c>
      <c r="L30" s="127" t="s">
        <v>287</v>
      </c>
      <c r="M30" s="127"/>
      <c r="N30" s="127"/>
      <c r="O30" s="127"/>
      <c r="P30" s="127"/>
      <c r="Q30" s="127"/>
      <c r="R30" s="127"/>
      <c r="S30" s="127"/>
      <c r="T30" s="127"/>
      <c r="U30" s="117" t="s">
        <v>288</v>
      </c>
    </row>
    <row r="31" spans="1:21" ht="10" customHeight="1" x14ac:dyDescent="0.35">
      <c r="A31" s="126" t="s">
        <v>87</v>
      </c>
      <c r="B31" s="117">
        <v>5</v>
      </c>
      <c r="C31" s="126"/>
      <c r="D31" s="116" t="s">
        <v>248</v>
      </c>
      <c r="E31" s="126" t="s">
        <v>354</v>
      </c>
      <c r="F31" s="126" t="s">
        <v>277</v>
      </c>
      <c r="G31" s="126" t="s">
        <v>295</v>
      </c>
      <c r="H31" s="127" t="s">
        <v>295</v>
      </c>
      <c r="I31" s="127" t="s">
        <v>279</v>
      </c>
      <c r="J31" s="127"/>
      <c r="K31" s="127" t="s">
        <v>280</v>
      </c>
      <c r="L31" s="127" t="s">
        <v>344</v>
      </c>
      <c r="M31" s="127"/>
      <c r="N31" s="127"/>
      <c r="O31" s="127"/>
      <c r="P31" s="127"/>
      <c r="Q31" s="127"/>
      <c r="R31" s="127"/>
      <c r="S31" s="127"/>
      <c r="T31" s="127"/>
      <c r="U31" s="117" t="s">
        <v>288</v>
      </c>
    </row>
    <row r="32" spans="1:21" ht="10" customHeight="1" x14ac:dyDescent="0.35">
      <c r="A32" s="126" t="s">
        <v>87</v>
      </c>
      <c r="B32" s="117">
        <v>5</v>
      </c>
      <c r="C32" s="126"/>
      <c r="D32" s="116" t="s">
        <v>352</v>
      </c>
      <c r="E32" s="126" t="s">
        <v>355</v>
      </c>
      <c r="F32" s="126" t="s">
        <v>277</v>
      </c>
      <c r="G32" s="126" t="s">
        <v>295</v>
      </c>
      <c r="H32" s="127" t="s">
        <v>295</v>
      </c>
      <c r="I32" s="127" t="s">
        <v>279</v>
      </c>
      <c r="J32" s="127"/>
      <c r="K32" s="127" t="s">
        <v>280</v>
      </c>
      <c r="L32" s="127" t="s">
        <v>344</v>
      </c>
      <c r="M32" s="127"/>
      <c r="N32" s="127"/>
      <c r="O32" s="127"/>
      <c r="P32" s="127"/>
      <c r="Q32" s="127"/>
      <c r="R32" s="127"/>
      <c r="S32" s="127"/>
      <c r="T32" s="127"/>
      <c r="U32" s="117" t="s">
        <v>288</v>
      </c>
    </row>
    <row r="33" spans="1:21" ht="10" customHeight="1" x14ac:dyDescent="0.35">
      <c r="A33" s="126" t="s">
        <v>87</v>
      </c>
      <c r="B33" s="117">
        <v>5</v>
      </c>
      <c r="C33" s="126"/>
      <c r="D33" s="116" t="s">
        <v>352</v>
      </c>
      <c r="E33" s="126" t="s">
        <v>356</v>
      </c>
      <c r="F33" s="126" t="s">
        <v>277</v>
      </c>
      <c r="G33" s="126" t="s">
        <v>295</v>
      </c>
      <c r="H33" s="127" t="s">
        <v>295</v>
      </c>
      <c r="I33" s="127" t="s">
        <v>279</v>
      </c>
      <c r="J33" s="127"/>
      <c r="K33" s="127" t="s">
        <v>280</v>
      </c>
      <c r="L33" s="127" t="s">
        <v>344</v>
      </c>
      <c r="M33" s="127"/>
      <c r="N33" s="127"/>
      <c r="O33" s="127"/>
      <c r="P33" s="127"/>
      <c r="Q33" s="127"/>
      <c r="R33" s="127"/>
      <c r="S33" s="127"/>
      <c r="T33" s="127"/>
      <c r="U33" s="117" t="s">
        <v>288</v>
      </c>
    </row>
    <row r="34" spans="1:21" ht="10" customHeight="1" x14ac:dyDescent="0.35">
      <c r="A34" s="126" t="s">
        <v>357</v>
      </c>
      <c r="B34" s="117">
        <v>1</v>
      </c>
      <c r="C34" s="126"/>
      <c r="D34" s="116" t="s">
        <v>352</v>
      </c>
      <c r="E34" s="126" t="s">
        <v>358</v>
      </c>
      <c r="F34" s="126" t="s">
        <v>277</v>
      </c>
      <c r="G34" s="126" t="s">
        <v>295</v>
      </c>
      <c r="H34" s="127" t="s">
        <v>295</v>
      </c>
      <c r="I34" s="127" t="s">
        <v>279</v>
      </c>
      <c r="J34" s="127"/>
      <c r="K34" s="127" t="s">
        <v>280</v>
      </c>
      <c r="L34" s="127" t="s">
        <v>344</v>
      </c>
      <c r="M34" s="127"/>
      <c r="N34" s="127"/>
      <c r="O34" s="127"/>
      <c r="P34" s="127"/>
      <c r="Q34" s="127"/>
      <c r="R34" s="127"/>
      <c r="S34" s="127"/>
      <c r="T34" s="127"/>
      <c r="U34" s="117" t="s">
        <v>282</v>
      </c>
    </row>
    <row r="35" spans="1:21" ht="10" customHeight="1" x14ac:dyDescent="0.35">
      <c r="A35" s="126" t="s">
        <v>359</v>
      </c>
      <c r="B35" s="117">
        <v>5</v>
      </c>
      <c r="C35" s="126"/>
      <c r="D35" s="116" t="s">
        <v>352</v>
      </c>
      <c r="E35" s="126" t="s">
        <v>360</v>
      </c>
      <c r="F35" s="126" t="s">
        <v>277</v>
      </c>
      <c r="G35" s="126" t="s">
        <v>93</v>
      </c>
      <c r="H35" s="127" t="s">
        <v>93</v>
      </c>
      <c r="I35" s="127" t="s">
        <v>296</v>
      </c>
      <c r="J35" s="127"/>
      <c r="K35" s="127" t="s">
        <v>280</v>
      </c>
      <c r="L35" s="127" t="s">
        <v>287</v>
      </c>
      <c r="M35" s="127"/>
      <c r="N35" s="127"/>
      <c r="O35" s="127"/>
      <c r="P35" s="127"/>
      <c r="Q35" s="127"/>
      <c r="R35" s="127"/>
      <c r="S35" s="127"/>
      <c r="T35" s="127"/>
      <c r="U35" s="117" t="s">
        <v>288</v>
      </c>
    </row>
    <row r="36" spans="1:21" ht="10" customHeight="1" x14ac:dyDescent="0.35">
      <c r="A36" s="126" t="s">
        <v>359</v>
      </c>
      <c r="B36" s="117">
        <v>5</v>
      </c>
      <c r="C36" s="126"/>
      <c r="D36" s="116" t="s">
        <v>352</v>
      </c>
      <c r="E36" s="126" t="s">
        <v>361</v>
      </c>
      <c r="F36" s="126" t="s">
        <v>277</v>
      </c>
      <c r="G36" s="126" t="s">
        <v>93</v>
      </c>
      <c r="H36" s="127" t="s">
        <v>93</v>
      </c>
      <c r="I36" s="127" t="s">
        <v>296</v>
      </c>
      <c r="J36" s="127"/>
      <c r="K36" s="127" t="s">
        <v>280</v>
      </c>
      <c r="L36" s="127" t="s">
        <v>287</v>
      </c>
      <c r="M36" s="127"/>
      <c r="N36" s="127"/>
      <c r="O36" s="127"/>
      <c r="P36" s="127"/>
      <c r="Q36" s="127"/>
      <c r="R36" s="127"/>
      <c r="S36" s="127"/>
      <c r="T36" s="127"/>
      <c r="U36" s="117" t="s">
        <v>288</v>
      </c>
    </row>
    <row r="37" spans="1:21" ht="10" customHeight="1" x14ac:dyDescent="0.35">
      <c r="A37" s="126" t="s">
        <v>359</v>
      </c>
      <c r="B37" s="117">
        <v>5</v>
      </c>
      <c r="C37" s="126"/>
      <c r="D37" s="116" t="s">
        <v>352</v>
      </c>
      <c r="E37" s="126" t="s">
        <v>362</v>
      </c>
      <c r="F37" s="126" t="s">
        <v>277</v>
      </c>
      <c r="G37" s="126" t="s">
        <v>93</v>
      </c>
      <c r="H37" s="127" t="s">
        <v>93</v>
      </c>
      <c r="I37" s="127" t="s">
        <v>296</v>
      </c>
      <c r="J37" s="127"/>
      <c r="K37" s="127" t="s">
        <v>280</v>
      </c>
      <c r="L37" s="127" t="s">
        <v>287</v>
      </c>
      <c r="M37" s="127"/>
      <c r="N37" s="127"/>
      <c r="O37" s="127"/>
      <c r="P37" s="127"/>
      <c r="Q37" s="127"/>
      <c r="R37" s="127"/>
      <c r="S37" s="127"/>
      <c r="T37" s="127"/>
      <c r="U37" s="117" t="s">
        <v>288</v>
      </c>
    </row>
    <row r="38" spans="1:21" ht="10" customHeight="1" x14ac:dyDescent="0.35">
      <c r="A38" s="126" t="s">
        <v>359</v>
      </c>
      <c r="B38" s="117">
        <v>5</v>
      </c>
      <c r="C38" s="126"/>
      <c r="D38" s="116" t="s">
        <v>248</v>
      </c>
      <c r="E38" s="126" t="s">
        <v>363</v>
      </c>
      <c r="F38" s="126" t="s">
        <v>277</v>
      </c>
      <c r="G38" s="126" t="s">
        <v>295</v>
      </c>
      <c r="H38" s="127" t="s">
        <v>295</v>
      </c>
      <c r="I38" s="127" t="s">
        <v>279</v>
      </c>
      <c r="J38" s="127"/>
      <c r="K38" s="127" t="s">
        <v>280</v>
      </c>
      <c r="L38" s="127" t="s">
        <v>344</v>
      </c>
      <c r="M38" s="127"/>
      <c r="N38" s="127"/>
      <c r="O38" s="127"/>
      <c r="P38" s="127"/>
      <c r="Q38" s="127"/>
      <c r="R38" s="127"/>
      <c r="S38" s="127"/>
      <c r="T38" s="127"/>
      <c r="U38" s="117" t="s">
        <v>288</v>
      </c>
    </row>
    <row r="39" spans="1:21" ht="10" customHeight="1" x14ac:dyDescent="0.35">
      <c r="A39" s="126" t="s">
        <v>292</v>
      </c>
      <c r="B39" s="117">
        <v>16</v>
      </c>
      <c r="C39" s="126"/>
      <c r="D39" s="116" t="s">
        <v>297</v>
      </c>
      <c r="E39" s="126" t="s">
        <v>364</v>
      </c>
      <c r="F39" s="126" t="s">
        <v>277</v>
      </c>
      <c r="G39" s="126" t="s">
        <v>93</v>
      </c>
      <c r="H39" s="127" t="s">
        <v>93</v>
      </c>
      <c r="I39" s="127" t="s">
        <v>279</v>
      </c>
      <c r="J39" s="127"/>
      <c r="K39" s="127" t="s">
        <v>280</v>
      </c>
      <c r="L39" s="127" t="s">
        <v>365</v>
      </c>
      <c r="M39" s="127"/>
      <c r="N39" s="127"/>
      <c r="O39" s="127"/>
      <c r="P39" s="127"/>
      <c r="Q39" s="127"/>
      <c r="R39" s="127"/>
      <c r="S39" s="127"/>
      <c r="T39" s="127"/>
      <c r="U39" s="117" t="s">
        <v>282</v>
      </c>
    </row>
    <row r="40" spans="1:21" ht="10" customHeight="1" x14ac:dyDescent="0.35">
      <c r="A40" s="126" t="s">
        <v>292</v>
      </c>
      <c r="B40" s="117">
        <v>6</v>
      </c>
      <c r="C40" s="126"/>
      <c r="D40" s="116" t="s">
        <v>297</v>
      </c>
      <c r="E40" s="126" t="s">
        <v>366</v>
      </c>
      <c r="F40" s="126" t="s">
        <v>277</v>
      </c>
      <c r="G40" s="126" t="s">
        <v>93</v>
      </c>
      <c r="H40" s="127" t="s">
        <v>93</v>
      </c>
      <c r="I40" s="127" t="s">
        <v>367</v>
      </c>
      <c r="J40" s="127"/>
      <c r="K40" s="127" t="s">
        <v>280</v>
      </c>
      <c r="L40" s="127" t="s">
        <v>368</v>
      </c>
      <c r="M40" s="127"/>
      <c r="N40" s="127"/>
      <c r="O40" s="127"/>
      <c r="P40" s="127"/>
      <c r="Q40" s="127"/>
      <c r="R40" s="127"/>
      <c r="S40" s="127"/>
      <c r="T40" s="127"/>
      <c r="U40" s="117" t="s">
        <v>282</v>
      </c>
    </row>
    <row r="41" spans="1:21" s="121" customFormat="1" ht="10" customHeight="1" x14ac:dyDescent="0.35">
      <c r="A41" s="126" t="s">
        <v>292</v>
      </c>
      <c r="B41" s="117">
        <v>16</v>
      </c>
      <c r="C41" s="126"/>
      <c r="D41" s="116" t="s">
        <v>289</v>
      </c>
      <c r="E41" s="126" t="s">
        <v>369</v>
      </c>
      <c r="F41" s="126" t="s">
        <v>277</v>
      </c>
      <c r="G41" s="126" t="s">
        <v>302</v>
      </c>
      <c r="H41" s="127" t="s">
        <v>302</v>
      </c>
      <c r="I41" s="127" t="s">
        <v>279</v>
      </c>
      <c r="J41" s="127"/>
      <c r="K41" s="127" t="s">
        <v>280</v>
      </c>
      <c r="L41" s="127" t="s">
        <v>365</v>
      </c>
      <c r="M41" s="127"/>
      <c r="N41" s="127"/>
      <c r="O41" s="127"/>
      <c r="P41" s="127"/>
      <c r="Q41" s="127"/>
      <c r="R41" s="127"/>
      <c r="S41" s="127"/>
      <c r="T41" s="127"/>
      <c r="U41" s="117" t="s">
        <v>282</v>
      </c>
    </row>
    <row r="42" spans="1:21" ht="10" customHeight="1" x14ac:dyDescent="0.35">
      <c r="A42" s="126" t="s">
        <v>87</v>
      </c>
      <c r="B42" s="117">
        <v>4</v>
      </c>
      <c r="C42" s="126"/>
      <c r="D42" s="116" t="s">
        <v>317</v>
      </c>
      <c r="E42" s="126" t="s">
        <v>370</v>
      </c>
      <c r="F42" s="126" t="s">
        <v>277</v>
      </c>
      <c r="G42" s="126" t="s">
        <v>93</v>
      </c>
      <c r="H42" s="127" t="s">
        <v>93</v>
      </c>
      <c r="I42" s="127" t="s">
        <v>93</v>
      </c>
      <c r="J42" s="127"/>
      <c r="K42" s="127" t="s">
        <v>280</v>
      </c>
      <c r="L42" s="127" t="s">
        <v>328</v>
      </c>
      <c r="M42" s="127"/>
      <c r="N42" s="127"/>
      <c r="O42" s="127"/>
      <c r="P42" s="127"/>
      <c r="Q42" s="127"/>
      <c r="R42" s="127"/>
      <c r="S42" s="127"/>
      <c r="T42" s="127"/>
      <c r="U42" s="117" t="s">
        <v>282</v>
      </c>
    </row>
    <row r="43" spans="1:21" ht="10" customHeight="1" x14ac:dyDescent="0.35">
      <c r="A43" s="126" t="s">
        <v>292</v>
      </c>
      <c r="B43" s="117">
        <v>4</v>
      </c>
      <c r="C43" s="126"/>
      <c r="D43" s="116" t="s">
        <v>284</v>
      </c>
      <c r="E43" s="126" t="s">
        <v>371</v>
      </c>
      <c r="F43" s="126" t="s">
        <v>277</v>
      </c>
      <c r="G43" s="126" t="s">
        <v>93</v>
      </c>
      <c r="H43" s="127" t="s">
        <v>93</v>
      </c>
      <c r="I43" s="127" t="s">
        <v>372</v>
      </c>
      <c r="J43" s="127"/>
      <c r="K43" s="127" t="s">
        <v>280</v>
      </c>
      <c r="L43" s="127" t="s">
        <v>339</v>
      </c>
      <c r="M43" s="127"/>
      <c r="N43" s="127"/>
      <c r="O43" s="127"/>
      <c r="P43" s="127"/>
      <c r="Q43" s="127"/>
      <c r="R43" s="127"/>
      <c r="S43" s="127"/>
      <c r="T43" s="127"/>
      <c r="U43" s="117" t="s">
        <v>282</v>
      </c>
    </row>
    <row r="44" spans="1:21" ht="10" customHeight="1" x14ac:dyDescent="0.35">
      <c r="A44" s="126" t="s">
        <v>292</v>
      </c>
      <c r="B44" s="117">
        <v>2</v>
      </c>
      <c r="C44" s="126"/>
      <c r="D44" s="116" t="s">
        <v>284</v>
      </c>
      <c r="E44" s="126" t="s">
        <v>373</v>
      </c>
      <c r="F44" s="126" t="s">
        <v>277</v>
      </c>
      <c r="G44" s="126" t="s">
        <v>295</v>
      </c>
      <c r="H44" s="127" t="s">
        <v>295</v>
      </c>
      <c r="I44" s="127" t="s">
        <v>374</v>
      </c>
      <c r="J44" s="127"/>
      <c r="K44" s="127" t="s">
        <v>280</v>
      </c>
      <c r="L44" s="127" t="s">
        <v>368</v>
      </c>
      <c r="M44" s="127"/>
      <c r="N44" s="127"/>
      <c r="O44" s="127"/>
      <c r="P44" s="127"/>
      <c r="Q44" s="127"/>
      <c r="R44" s="127"/>
      <c r="S44" s="127"/>
      <c r="T44" s="127"/>
      <c r="U44" s="117" t="s">
        <v>282</v>
      </c>
    </row>
    <row r="45" spans="1:21" ht="10" customHeight="1" x14ac:dyDescent="0.35">
      <c r="A45" s="126" t="s">
        <v>292</v>
      </c>
      <c r="B45" s="117">
        <v>16</v>
      </c>
      <c r="C45" s="126"/>
      <c r="D45" s="116" t="s">
        <v>375</v>
      </c>
      <c r="E45" s="126" t="s">
        <v>376</v>
      </c>
      <c r="F45" s="126" t="s">
        <v>277</v>
      </c>
      <c r="G45" s="126" t="s">
        <v>278</v>
      </c>
      <c r="H45" s="127" t="s">
        <v>278</v>
      </c>
      <c r="I45" s="127" t="s">
        <v>279</v>
      </c>
      <c r="J45" s="127"/>
      <c r="K45" s="127" t="s">
        <v>280</v>
      </c>
      <c r="L45" s="127" t="s">
        <v>368</v>
      </c>
      <c r="M45" s="127"/>
      <c r="N45" s="127"/>
      <c r="O45" s="127"/>
      <c r="P45" s="127"/>
      <c r="Q45" s="127"/>
      <c r="R45" s="127"/>
      <c r="S45" s="127"/>
      <c r="T45" s="127"/>
      <c r="U45" s="117" t="s">
        <v>282</v>
      </c>
    </row>
    <row r="46" spans="1:21" ht="10" customHeight="1" x14ac:dyDescent="0.35">
      <c r="A46" s="126" t="s">
        <v>292</v>
      </c>
      <c r="B46" s="117">
        <v>16</v>
      </c>
      <c r="C46" s="126"/>
      <c r="D46" s="116" t="s">
        <v>297</v>
      </c>
      <c r="E46" s="126" t="s">
        <v>377</v>
      </c>
      <c r="F46" s="126" t="s">
        <v>277</v>
      </c>
      <c r="G46" s="126" t="s">
        <v>93</v>
      </c>
      <c r="H46" s="127" t="s">
        <v>93</v>
      </c>
      <c r="I46" s="127" t="s">
        <v>279</v>
      </c>
      <c r="J46" s="127"/>
      <c r="K46" s="127" t="s">
        <v>280</v>
      </c>
      <c r="L46" s="127" t="s">
        <v>365</v>
      </c>
      <c r="M46" s="127"/>
      <c r="N46" s="127"/>
      <c r="O46" s="127"/>
      <c r="P46" s="127"/>
      <c r="Q46" s="127"/>
      <c r="R46" s="127"/>
      <c r="S46" s="127"/>
      <c r="T46" s="127"/>
      <c r="U46" s="117" t="s">
        <v>282</v>
      </c>
    </row>
    <row r="47" spans="1:21" ht="10" customHeight="1" x14ac:dyDescent="0.35">
      <c r="A47" s="126" t="s">
        <v>292</v>
      </c>
      <c r="B47" s="117">
        <v>16</v>
      </c>
      <c r="C47" s="126"/>
      <c r="D47" s="116" t="s">
        <v>297</v>
      </c>
      <c r="E47" s="126" t="s">
        <v>378</v>
      </c>
      <c r="F47" s="126" t="s">
        <v>277</v>
      </c>
      <c r="G47" s="126" t="s">
        <v>93</v>
      </c>
      <c r="H47" s="127" t="s">
        <v>93</v>
      </c>
      <c r="I47" s="127" t="s">
        <v>379</v>
      </c>
      <c r="J47" s="127"/>
      <c r="K47" s="127" t="s">
        <v>280</v>
      </c>
      <c r="L47" s="127" t="s">
        <v>368</v>
      </c>
      <c r="M47" s="127"/>
      <c r="N47" s="127"/>
      <c r="O47" s="127"/>
      <c r="P47" s="127"/>
      <c r="Q47" s="127"/>
      <c r="R47" s="127"/>
      <c r="S47" s="127"/>
      <c r="T47" s="127"/>
      <c r="U47" s="117" t="s">
        <v>282</v>
      </c>
    </row>
    <row r="48" spans="1:21" s="121" customFormat="1" ht="10" customHeight="1" x14ac:dyDescent="0.35">
      <c r="A48" s="126" t="s">
        <v>292</v>
      </c>
      <c r="B48" s="117">
        <v>2</v>
      </c>
      <c r="C48" s="126"/>
      <c r="D48" s="116" t="s">
        <v>284</v>
      </c>
      <c r="E48" s="126" t="s">
        <v>380</v>
      </c>
      <c r="F48" s="126" t="s">
        <v>277</v>
      </c>
      <c r="G48" s="126" t="s">
        <v>93</v>
      </c>
      <c r="H48" s="127" t="s">
        <v>93</v>
      </c>
      <c r="I48" s="127" t="s">
        <v>381</v>
      </c>
      <c r="J48" s="127"/>
      <c r="K48" s="127" t="s">
        <v>280</v>
      </c>
      <c r="L48" s="127" t="s">
        <v>339</v>
      </c>
      <c r="M48" s="127"/>
      <c r="N48" s="127"/>
      <c r="O48" s="127"/>
      <c r="P48" s="127"/>
      <c r="Q48" s="127"/>
      <c r="R48" s="127"/>
      <c r="S48" s="127"/>
      <c r="T48" s="127"/>
      <c r="U48" s="117" t="s">
        <v>282</v>
      </c>
    </row>
    <row r="49" spans="1:21" ht="10" customHeight="1" x14ac:dyDescent="0.35">
      <c r="A49" s="126" t="s">
        <v>292</v>
      </c>
      <c r="B49" s="117">
        <v>4</v>
      </c>
      <c r="C49" s="126"/>
      <c r="D49" s="116" t="s">
        <v>382</v>
      </c>
      <c r="E49" s="126" t="s">
        <v>383</v>
      </c>
      <c r="F49" s="126" t="s">
        <v>277</v>
      </c>
      <c r="G49" s="126" t="s">
        <v>278</v>
      </c>
      <c r="H49" s="127" t="s">
        <v>278</v>
      </c>
      <c r="I49" s="127" t="s">
        <v>279</v>
      </c>
      <c r="J49" s="127"/>
      <c r="K49" s="127" t="s">
        <v>280</v>
      </c>
      <c r="L49" s="127" t="s">
        <v>384</v>
      </c>
      <c r="M49" s="127"/>
      <c r="N49" s="127"/>
      <c r="O49" s="127"/>
      <c r="P49" s="127"/>
      <c r="Q49" s="127"/>
      <c r="R49" s="127"/>
      <c r="S49" s="127"/>
      <c r="T49" s="127"/>
      <c r="U49" s="117" t="s">
        <v>282</v>
      </c>
    </row>
    <row r="50" spans="1:21" ht="10" customHeight="1" x14ac:dyDescent="0.35">
      <c r="A50" s="126" t="s">
        <v>292</v>
      </c>
      <c r="B50" s="117">
        <v>12</v>
      </c>
      <c r="C50" s="126"/>
      <c r="D50" s="116" t="s">
        <v>289</v>
      </c>
      <c r="E50" s="126" t="s">
        <v>385</v>
      </c>
      <c r="F50" s="126" t="s">
        <v>277</v>
      </c>
      <c r="G50" s="126" t="s">
        <v>93</v>
      </c>
      <c r="H50" s="127" t="s">
        <v>93</v>
      </c>
      <c r="I50" s="127" t="s">
        <v>279</v>
      </c>
      <c r="J50" s="127"/>
      <c r="K50" s="127" t="s">
        <v>280</v>
      </c>
      <c r="L50" s="127" t="s">
        <v>386</v>
      </c>
      <c r="M50" s="127"/>
      <c r="N50" s="127"/>
      <c r="O50" s="127"/>
      <c r="P50" s="127"/>
      <c r="Q50" s="127"/>
      <c r="R50" s="127"/>
      <c r="S50" s="127"/>
      <c r="T50" s="127"/>
      <c r="U50" s="117" t="s">
        <v>282</v>
      </c>
    </row>
    <row r="51" spans="1:21" ht="10" customHeight="1" x14ac:dyDescent="0.35">
      <c r="A51" s="126" t="s">
        <v>292</v>
      </c>
      <c r="B51" s="117">
        <v>4</v>
      </c>
      <c r="C51" s="126"/>
      <c r="D51" s="116" t="s">
        <v>382</v>
      </c>
      <c r="E51" s="126" t="s">
        <v>387</v>
      </c>
      <c r="F51" s="126" t="s">
        <v>277</v>
      </c>
      <c r="G51" s="126" t="s">
        <v>278</v>
      </c>
      <c r="H51" s="127" t="s">
        <v>278</v>
      </c>
      <c r="I51" s="127" t="s">
        <v>279</v>
      </c>
      <c r="J51" s="127"/>
      <c r="K51" s="127" t="s">
        <v>280</v>
      </c>
      <c r="L51" s="127" t="s">
        <v>388</v>
      </c>
      <c r="M51" s="127"/>
      <c r="N51" s="127"/>
      <c r="O51" s="127"/>
      <c r="P51" s="127"/>
      <c r="Q51" s="127"/>
      <c r="R51" s="127"/>
      <c r="S51" s="127"/>
      <c r="T51" s="127"/>
      <c r="U51" s="117" t="s">
        <v>282</v>
      </c>
    </row>
    <row r="52" spans="1:21" ht="10" customHeight="1" x14ac:dyDescent="0.35">
      <c r="A52" s="126" t="s">
        <v>292</v>
      </c>
      <c r="B52" s="117">
        <v>12</v>
      </c>
      <c r="C52" s="126"/>
      <c r="D52" s="116" t="s">
        <v>289</v>
      </c>
      <c r="E52" s="126" t="s">
        <v>389</v>
      </c>
      <c r="F52" s="126" t="s">
        <v>277</v>
      </c>
      <c r="G52" s="126"/>
      <c r="H52" s="127" t="s">
        <v>93</v>
      </c>
      <c r="I52" s="127" t="s">
        <v>279</v>
      </c>
      <c r="J52" s="127"/>
      <c r="K52" s="127" t="s">
        <v>280</v>
      </c>
      <c r="L52" s="127" t="s">
        <v>386</v>
      </c>
      <c r="M52" s="127"/>
      <c r="N52" s="127"/>
      <c r="O52" s="127"/>
      <c r="P52" s="127"/>
      <c r="Q52" s="127"/>
      <c r="R52" s="127"/>
      <c r="S52" s="127"/>
      <c r="T52" s="127"/>
      <c r="U52" s="117" t="s">
        <v>282</v>
      </c>
    </row>
    <row r="53" spans="1:21" ht="10" customHeight="1" x14ac:dyDescent="0.35">
      <c r="A53" s="126" t="s">
        <v>292</v>
      </c>
      <c r="B53" s="117">
        <v>10</v>
      </c>
      <c r="C53" s="126"/>
      <c r="D53" s="116" t="s">
        <v>314</v>
      </c>
      <c r="E53" s="126" t="s">
        <v>390</v>
      </c>
      <c r="F53" s="126" t="s">
        <v>277</v>
      </c>
      <c r="G53" s="126"/>
      <c r="H53" s="127" t="s">
        <v>93</v>
      </c>
      <c r="I53" s="127" t="s">
        <v>93</v>
      </c>
      <c r="J53" s="127"/>
      <c r="K53" s="127" t="s">
        <v>280</v>
      </c>
      <c r="L53" s="127" t="s">
        <v>391</v>
      </c>
      <c r="M53" s="127"/>
      <c r="N53" s="127"/>
      <c r="O53" s="127"/>
      <c r="P53" s="127"/>
      <c r="Q53" s="127"/>
      <c r="R53" s="127"/>
      <c r="S53" s="127"/>
      <c r="T53" s="127"/>
      <c r="U53" s="117" t="s">
        <v>282</v>
      </c>
    </row>
    <row r="54" spans="1:21" ht="10" customHeight="1" x14ac:dyDescent="0.35">
      <c r="A54" s="126" t="s">
        <v>292</v>
      </c>
      <c r="B54" s="117">
        <v>22</v>
      </c>
      <c r="C54" s="126"/>
      <c r="D54" s="116" t="s">
        <v>392</v>
      </c>
      <c r="E54" s="126" t="s">
        <v>393</v>
      </c>
      <c r="F54" s="126" t="s">
        <v>277</v>
      </c>
      <c r="G54" s="126"/>
      <c r="H54" s="127" t="s">
        <v>93</v>
      </c>
      <c r="I54" s="127" t="s">
        <v>93</v>
      </c>
      <c r="J54" s="127"/>
      <c r="K54" s="127" t="s">
        <v>280</v>
      </c>
      <c r="L54" s="127" t="s">
        <v>394</v>
      </c>
      <c r="M54" s="127"/>
      <c r="N54" s="127"/>
      <c r="O54" s="127"/>
      <c r="P54" s="127"/>
      <c r="Q54" s="127"/>
      <c r="R54" s="127"/>
      <c r="S54" s="127"/>
      <c r="T54" s="127"/>
      <c r="U54" s="117" t="s">
        <v>282</v>
      </c>
    </row>
    <row r="55" spans="1:21" ht="10" customHeight="1" x14ac:dyDescent="0.35">
      <c r="A55" s="126" t="s">
        <v>359</v>
      </c>
      <c r="B55" s="117">
        <v>5</v>
      </c>
      <c r="C55" s="126"/>
      <c r="D55" s="116" t="s">
        <v>352</v>
      </c>
      <c r="E55" s="126" t="s">
        <v>395</v>
      </c>
      <c r="F55" s="126" t="s">
        <v>277</v>
      </c>
      <c r="G55" s="126"/>
      <c r="H55" s="127" t="s">
        <v>93</v>
      </c>
      <c r="I55" s="127" t="s">
        <v>296</v>
      </c>
      <c r="J55" s="127"/>
      <c r="K55" s="127" t="s">
        <v>280</v>
      </c>
      <c r="L55" s="127" t="s">
        <v>287</v>
      </c>
      <c r="M55" s="127"/>
      <c r="N55" s="127"/>
      <c r="O55" s="127"/>
      <c r="P55" s="127"/>
      <c r="Q55" s="127"/>
      <c r="R55" s="127"/>
      <c r="S55" s="127"/>
      <c r="T55" s="127"/>
      <c r="U55" s="117" t="s">
        <v>288</v>
      </c>
    </row>
    <row r="56" spans="1:21" ht="10" customHeight="1" x14ac:dyDescent="0.35">
      <c r="A56" s="126" t="s">
        <v>359</v>
      </c>
      <c r="B56" s="117">
        <v>5</v>
      </c>
      <c r="C56" s="126"/>
      <c r="D56" s="116" t="s">
        <v>248</v>
      </c>
      <c r="E56" s="126" t="s">
        <v>396</v>
      </c>
      <c r="F56" s="126" t="s">
        <v>277</v>
      </c>
      <c r="G56" s="126"/>
      <c r="H56" s="127" t="s">
        <v>93</v>
      </c>
      <c r="I56" s="127" t="s">
        <v>296</v>
      </c>
      <c r="J56" s="127"/>
      <c r="K56" s="127" t="s">
        <v>280</v>
      </c>
      <c r="L56" s="127" t="s">
        <v>287</v>
      </c>
      <c r="M56" s="127"/>
      <c r="N56" s="127"/>
      <c r="O56" s="127"/>
      <c r="P56" s="127"/>
      <c r="Q56" s="127"/>
      <c r="R56" s="127"/>
      <c r="S56" s="127"/>
      <c r="T56" s="127"/>
      <c r="U56" s="117" t="s">
        <v>288</v>
      </c>
    </row>
    <row r="57" spans="1:21" ht="10" customHeight="1" x14ac:dyDescent="0.35">
      <c r="A57" s="126" t="s">
        <v>359</v>
      </c>
      <c r="B57" s="117">
        <v>5</v>
      </c>
      <c r="C57" s="126"/>
      <c r="D57" s="116" t="s">
        <v>248</v>
      </c>
      <c r="E57" s="126" t="s">
        <v>397</v>
      </c>
      <c r="F57" s="126" t="s">
        <v>277</v>
      </c>
      <c r="G57" s="126"/>
      <c r="H57" s="127" t="s">
        <v>278</v>
      </c>
      <c r="I57" s="127" t="s">
        <v>279</v>
      </c>
      <c r="J57" s="127"/>
      <c r="K57" s="127" t="s">
        <v>280</v>
      </c>
      <c r="L57" s="127" t="s">
        <v>344</v>
      </c>
      <c r="M57" s="127"/>
      <c r="N57" s="127"/>
      <c r="O57" s="127"/>
      <c r="P57" s="127"/>
      <c r="Q57" s="127"/>
      <c r="R57" s="127"/>
      <c r="S57" s="127"/>
      <c r="T57" s="127"/>
      <c r="U57" s="117" t="s">
        <v>288</v>
      </c>
    </row>
    <row r="58" spans="1:21" ht="10" customHeight="1" x14ac:dyDescent="0.35">
      <c r="A58" s="126" t="s">
        <v>359</v>
      </c>
      <c r="B58" s="117">
        <v>5</v>
      </c>
      <c r="C58" s="126"/>
      <c r="D58" s="116" t="s">
        <v>352</v>
      </c>
      <c r="E58" s="126" t="s">
        <v>398</v>
      </c>
      <c r="F58" s="126" t="s">
        <v>277</v>
      </c>
      <c r="G58" s="126"/>
      <c r="H58" s="127" t="s">
        <v>295</v>
      </c>
      <c r="I58" s="127" t="s">
        <v>279</v>
      </c>
      <c r="J58" s="127"/>
      <c r="K58" s="127" t="s">
        <v>280</v>
      </c>
      <c r="L58" s="127" t="s">
        <v>344</v>
      </c>
      <c r="M58" s="127"/>
      <c r="N58" s="127"/>
      <c r="O58" s="127"/>
      <c r="P58" s="127"/>
      <c r="Q58" s="127"/>
      <c r="R58" s="127"/>
      <c r="S58" s="127"/>
      <c r="T58" s="127"/>
      <c r="U58" s="117" t="s">
        <v>288</v>
      </c>
    </row>
    <row r="59" spans="1:21" ht="10" customHeight="1" x14ac:dyDescent="0.35">
      <c r="A59" s="126" t="s">
        <v>292</v>
      </c>
      <c r="B59" s="117">
        <v>4</v>
      </c>
      <c r="C59" s="126"/>
      <c r="D59" s="116" t="s">
        <v>399</v>
      </c>
      <c r="E59" s="126" t="s">
        <v>400</v>
      </c>
      <c r="F59" s="126" t="s">
        <v>277</v>
      </c>
      <c r="G59" s="126"/>
      <c r="H59" s="127" t="s">
        <v>278</v>
      </c>
      <c r="I59" s="127" t="s">
        <v>279</v>
      </c>
      <c r="J59" s="127"/>
      <c r="K59" s="127" t="s">
        <v>280</v>
      </c>
      <c r="L59" s="127" t="s">
        <v>368</v>
      </c>
      <c r="M59" s="127"/>
      <c r="N59" s="127"/>
      <c r="O59" s="127"/>
      <c r="P59" s="127"/>
      <c r="Q59" s="127"/>
      <c r="R59" s="127"/>
      <c r="S59" s="127"/>
      <c r="T59" s="127"/>
      <c r="U59" s="117" t="s">
        <v>282</v>
      </c>
    </row>
    <row r="60" spans="1:21" ht="10" customHeight="1" x14ac:dyDescent="0.35">
      <c r="A60" s="126" t="s">
        <v>292</v>
      </c>
      <c r="B60" s="117">
        <v>4</v>
      </c>
      <c r="C60" s="126"/>
      <c r="D60" s="116" t="s">
        <v>399</v>
      </c>
      <c r="E60" s="126" t="s">
        <v>401</v>
      </c>
      <c r="F60" s="126" t="s">
        <v>277</v>
      </c>
      <c r="G60" s="126"/>
      <c r="H60" s="127" t="s">
        <v>295</v>
      </c>
      <c r="I60" s="127" t="s">
        <v>279</v>
      </c>
      <c r="J60" s="127"/>
      <c r="K60" s="127" t="s">
        <v>280</v>
      </c>
      <c r="L60" s="127" t="s">
        <v>368</v>
      </c>
      <c r="M60" s="127"/>
      <c r="N60" s="127"/>
      <c r="O60" s="127"/>
      <c r="P60" s="127"/>
      <c r="Q60" s="127"/>
      <c r="R60" s="127"/>
      <c r="S60" s="127"/>
      <c r="T60" s="127"/>
      <c r="U60" s="117" t="s">
        <v>282</v>
      </c>
    </row>
    <row r="61" spans="1:21" ht="10" customHeight="1" x14ac:dyDescent="0.35">
      <c r="A61" s="126" t="s">
        <v>359</v>
      </c>
      <c r="B61" s="117">
        <v>5</v>
      </c>
      <c r="C61" s="126"/>
      <c r="D61" s="116" t="s">
        <v>248</v>
      </c>
      <c r="E61" s="126" t="s">
        <v>402</v>
      </c>
      <c r="F61" s="126" t="s">
        <v>277</v>
      </c>
      <c r="G61" s="126"/>
      <c r="H61" s="127" t="s">
        <v>278</v>
      </c>
      <c r="I61" s="127" t="s">
        <v>279</v>
      </c>
      <c r="J61" s="127"/>
      <c r="K61" s="127" t="s">
        <v>280</v>
      </c>
      <c r="L61" s="127" t="s">
        <v>344</v>
      </c>
      <c r="M61" s="127"/>
      <c r="N61" s="127"/>
      <c r="O61" s="127"/>
      <c r="P61" s="127"/>
      <c r="Q61" s="127"/>
      <c r="R61" s="127"/>
      <c r="S61" s="127"/>
      <c r="T61" s="127"/>
      <c r="U61" s="117" t="s">
        <v>288</v>
      </c>
    </row>
    <row r="62" spans="1:21" ht="10" customHeight="1" x14ac:dyDescent="0.35">
      <c r="A62" s="126" t="s">
        <v>359</v>
      </c>
      <c r="B62" s="117">
        <v>5</v>
      </c>
      <c r="C62" s="126"/>
      <c r="D62" s="116" t="s">
        <v>352</v>
      </c>
      <c r="E62" s="126" t="s">
        <v>403</v>
      </c>
      <c r="F62" s="126" t="s">
        <v>277</v>
      </c>
      <c r="G62" s="126"/>
      <c r="H62" s="127" t="s">
        <v>295</v>
      </c>
      <c r="I62" s="127" t="s">
        <v>279</v>
      </c>
      <c r="J62" s="127"/>
      <c r="K62" s="127" t="s">
        <v>280</v>
      </c>
      <c r="L62" s="127" t="s">
        <v>344</v>
      </c>
      <c r="M62" s="127"/>
      <c r="N62" s="127"/>
      <c r="O62" s="127"/>
      <c r="P62" s="127"/>
      <c r="Q62" s="127"/>
      <c r="R62" s="127"/>
      <c r="S62" s="127"/>
      <c r="T62" s="127"/>
      <c r="U62" s="117" t="s">
        <v>288</v>
      </c>
    </row>
    <row r="63" spans="1:21" ht="10" customHeight="1" x14ac:dyDescent="0.35">
      <c r="A63" s="126" t="s">
        <v>357</v>
      </c>
      <c r="B63" s="117">
        <v>2</v>
      </c>
      <c r="C63" s="126"/>
      <c r="D63" s="116" t="s">
        <v>404</v>
      </c>
      <c r="E63" s="126" t="s">
        <v>405</v>
      </c>
      <c r="F63" s="126" t="s">
        <v>277</v>
      </c>
      <c r="G63" s="126"/>
      <c r="H63" s="127" t="s">
        <v>295</v>
      </c>
      <c r="I63" s="127" t="s">
        <v>279</v>
      </c>
      <c r="J63" s="127"/>
      <c r="K63" s="127" t="s">
        <v>280</v>
      </c>
      <c r="L63" s="127" t="s">
        <v>406</v>
      </c>
      <c r="M63" s="127"/>
      <c r="N63" s="127"/>
      <c r="O63" s="127"/>
      <c r="P63" s="127"/>
      <c r="Q63" s="127"/>
      <c r="R63" s="127"/>
      <c r="S63" s="127"/>
      <c r="T63" s="127"/>
      <c r="U63" s="117" t="s">
        <v>282</v>
      </c>
    </row>
    <row r="64" spans="1:21" ht="10" customHeight="1" x14ac:dyDescent="0.35">
      <c r="A64" s="126" t="s">
        <v>357</v>
      </c>
      <c r="B64" s="117">
        <v>1</v>
      </c>
      <c r="C64" s="126"/>
      <c r="D64" s="116" t="s">
        <v>407</v>
      </c>
      <c r="E64" s="126" t="s">
        <v>408</v>
      </c>
      <c r="F64" s="126" t="s">
        <v>277</v>
      </c>
      <c r="G64" s="126"/>
      <c r="H64" s="127" t="s">
        <v>295</v>
      </c>
      <c r="I64" s="127" t="s">
        <v>279</v>
      </c>
      <c r="J64" s="127"/>
      <c r="K64" s="127" t="s">
        <v>280</v>
      </c>
      <c r="L64" s="127" t="s">
        <v>406</v>
      </c>
      <c r="M64" s="127"/>
      <c r="N64" s="127"/>
      <c r="O64" s="127"/>
      <c r="P64" s="127"/>
      <c r="Q64" s="127"/>
      <c r="R64" s="127"/>
      <c r="S64" s="127"/>
      <c r="T64" s="127"/>
      <c r="U64" s="117" t="s">
        <v>282</v>
      </c>
    </row>
    <row r="65" spans="1:21" ht="10" customHeight="1" x14ac:dyDescent="0.35">
      <c r="A65" s="126" t="s">
        <v>357</v>
      </c>
      <c r="B65" s="117">
        <v>4</v>
      </c>
      <c r="C65" s="126"/>
      <c r="D65" s="116" t="s">
        <v>409</v>
      </c>
      <c r="E65" s="126" t="s">
        <v>410</v>
      </c>
      <c r="F65" s="126" t="s">
        <v>277</v>
      </c>
      <c r="G65" s="126"/>
      <c r="H65" s="127" t="s">
        <v>295</v>
      </c>
      <c r="I65" s="127" t="s">
        <v>279</v>
      </c>
      <c r="J65" s="127"/>
      <c r="K65" s="127" t="s">
        <v>280</v>
      </c>
      <c r="L65" s="127" t="s">
        <v>406</v>
      </c>
      <c r="M65" s="127"/>
      <c r="N65" s="127"/>
      <c r="O65" s="127"/>
      <c r="P65" s="127"/>
      <c r="Q65" s="127"/>
      <c r="R65" s="127"/>
      <c r="S65" s="127"/>
      <c r="T65" s="127"/>
      <c r="U65" s="117" t="s">
        <v>282</v>
      </c>
    </row>
    <row r="66" spans="1:21" ht="10" customHeight="1" x14ac:dyDescent="0.35">
      <c r="A66" s="126" t="s">
        <v>357</v>
      </c>
      <c r="B66" s="117">
        <v>2</v>
      </c>
      <c r="C66" s="126"/>
      <c r="D66" s="116" t="s">
        <v>411</v>
      </c>
      <c r="E66" s="126" t="s">
        <v>412</v>
      </c>
      <c r="F66" s="126" t="s">
        <v>277</v>
      </c>
      <c r="G66" s="126"/>
      <c r="H66" s="127" t="s">
        <v>295</v>
      </c>
      <c r="I66" s="127" t="s">
        <v>279</v>
      </c>
      <c r="J66" s="127"/>
      <c r="K66" s="127" t="s">
        <v>280</v>
      </c>
      <c r="L66" s="127" t="s">
        <v>406</v>
      </c>
      <c r="M66" s="127"/>
      <c r="N66" s="127"/>
      <c r="O66" s="127"/>
      <c r="P66" s="127"/>
      <c r="Q66" s="127"/>
      <c r="R66" s="127"/>
      <c r="S66" s="127"/>
      <c r="T66" s="127"/>
      <c r="U66" s="117" t="s">
        <v>282</v>
      </c>
    </row>
    <row r="67" spans="1:21" ht="10" customHeight="1" x14ac:dyDescent="0.35">
      <c r="A67" s="126" t="s">
        <v>357</v>
      </c>
      <c r="B67" s="117">
        <v>2</v>
      </c>
      <c r="C67" s="126"/>
      <c r="D67" s="116" t="s">
        <v>413</v>
      </c>
      <c r="E67" s="126" t="s">
        <v>414</v>
      </c>
      <c r="F67" s="126" t="s">
        <v>277</v>
      </c>
      <c r="G67" s="126"/>
      <c r="H67" s="127" t="s">
        <v>295</v>
      </c>
      <c r="I67" s="127" t="s">
        <v>279</v>
      </c>
      <c r="J67" s="127"/>
      <c r="K67" s="127" t="s">
        <v>280</v>
      </c>
      <c r="L67" s="127" t="s">
        <v>406</v>
      </c>
      <c r="M67" s="127"/>
      <c r="N67" s="127"/>
      <c r="O67" s="127"/>
      <c r="P67" s="127"/>
      <c r="Q67" s="127"/>
      <c r="R67" s="127"/>
      <c r="S67" s="127"/>
      <c r="T67" s="127"/>
      <c r="U67" s="117" t="s">
        <v>282</v>
      </c>
    </row>
    <row r="68" spans="1:21" ht="10" customHeight="1" x14ac:dyDescent="0.35">
      <c r="A68" s="126" t="s">
        <v>357</v>
      </c>
      <c r="B68" s="117">
        <v>2</v>
      </c>
      <c r="C68" s="126"/>
      <c r="D68" s="116" t="s">
        <v>415</v>
      </c>
      <c r="E68" s="126" t="s">
        <v>416</v>
      </c>
      <c r="F68" s="126" t="s">
        <v>277</v>
      </c>
      <c r="G68" s="126"/>
      <c r="H68" s="127" t="s">
        <v>295</v>
      </c>
      <c r="I68" s="127" t="s">
        <v>279</v>
      </c>
      <c r="J68" s="127"/>
      <c r="K68" s="127" t="s">
        <v>280</v>
      </c>
      <c r="L68" s="127" t="s">
        <v>406</v>
      </c>
      <c r="M68" s="127"/>
      <c r="N68" s="127"/>
      <c r="O68" s="127"/>
      <c r="P68" s="127"/>
      <c r="Q68" s="127"/>
      <c r="R68" s="127"/>
      <c r="S68" s="127"/>
      <c r="T68" s="127"/>
      <c r="U68" s="117" t="s">
        <v>282</v>
      </c>
    </row>
    <row r="69" spans="1:21" ht="10" customHeight="1" x14ac:dyDescent="0.35">
      <c r="A69" s="126" t="s">
        <v>357</v>
      </c>
      <c r="B69" s="117">
        <v>2</v>
      </c>
      <c r="C69" s="126"/>
      <c r="D69" s="116" t="s">
        <v>417</v>
      </c>
      <c r="E69" s="126" t="s">
        <v>418</v>
      </c>
      <c r="F69" s="126" t="s">
        <v>277</v>
      </c>
      <c r="G69" s="126"/>
      <c r="H69" s="127" t="s">
        <v>295</v>
      </c>
      <c r="I69" s="127" t="s">
        <v>279</v>
      </c>
      <c r="J69" s="127"/>
      <c r="K69" s="127" t="s">
        <v>280</v>
      </c>
      <c r="L69" s="127" t="s">
        <v>406</v>
      </c>
      <c r="M69" s="127"/>
      <c r="N69" s="127"/>
      <c r="O69" s="127"/>
      <c r="P69" s="127"/>
      <c r="Q69" s="127"/>
      <c r="R69" s="127"/>
      <c r="S69" s="127"/>
      <c r="T69" s="127"/>
      <c r="U69" s="117" t="s">
        <v>282</v>
      </c>
    </row>
    <row r="70" spans="1:21" ht="10" customHeight="1" x14ac:dyDescent="0.35">
      <c r="A70" s="126" t="s">
        <v>357</v>
      </c>
      <c r="B70" s="117">
        <v>2</v>
      </c>
      <c r="C70" s="126"/>
      <c r="D70" s="116" t="s">
        <v>419</v>
      </c>
      <c r="E70" s="126" t="s">
        <v>420</v>
      </c>
      <c r="F70" s="126" t="s">
        <v>277</v>
      </c>
      <c r="G70" s="126"/>
      <c r="H70" s="127" t="s">
        <v>295</v>
      </c>
      <c r="I70" s="127" t="s">
        <v>279</v>
      </c>
      <c r="J70" s="127"/>
      <c r="K70" s="127" t="s">
        <v>280</v>
      </c>
      <c r="L70" s="127" t="s">
        <v>406</v>
      </c>
      <c r="M70" s="127"/>
      <c r="N70" s="127"/>
      <c r="O70" s="127"/>
      <c r="P70" s="127"/>
      <c r="Q70" s="127"/>
      <c r="R70" s="127"/>
      <c r="S70" s="127"/>
      <c r="T70" s="127"/>
      <c r="U70" s="117" t="s">
        <v>282</v>
      </c>
    </row>
    <row r="71" spans="1:21" ht="10" customHeight="1" x14ac:dyDescent="0.35">
      <c r="A71" s="126" t="s">
        <v>421</v>
      </c>
      <c r="B71" s="117">
        <v>16</v>
      </c>
      <c r="C71" s="126"/>
      <c r="D71" s="116" t="s">
        <v>289</v>
      </c>
      <c r="E71" s="126" t="s">
        <v>422</v>
      </c>
      <c r="F71" s="126" t="s">
        <v>277</v>
      </c>
      <c r="G71" s="126"/>
      <c r="H71" s="127" t="s">
        <v>423</v>
      </c>
      <c r="I71" s="127" t="s">
        <v>279</v>
      </c>
      <c r="J71" s="127"/>
      <c r="K71" s="127" t="s">
        <v>280</v>
      </c>
      <c r="L71" s="127" t="s">
        <v>368</v>
      </c>
      <c r="M71" s="127"/>
      <c r="N71" s="127"/>
      <c r="O71" s="127"/>
      <c r="P71" s="127"/>
      <c r="Q71" s="127"/>
      <c r="R71" s="127"/>
      <c r="S71" s="127"/>
      <c r="T71" s="127"/>
      <c r="U71" s="117" t="s">
        <v>288</v>
      </c>
    </row>
    <row r="72" spans="1:21" ht="10" customHeight="1" x14ac:dyDescent="0.35">
      <c r="A72" s="126" t="s">
        <v>424</v>
      </c>
      <c r="B72" s="117">
        <v>16</v>
      </c>
      <c r="C72" s="126"/>
      <c r="D72" s="116" t="s">
        <v>289</v>
      </c>
      <c r="E72" s="126" t="s">
        <v>425</v>
      </c>
      <c r="F72" s="126" t="s">
        <v>277</v>
      </c>
      <c r="G72" s="126"/>
      <c r="H72" s="127" t="s">
        <v>426</v>
      </c>
      <c r="I72" s="127" t="s">
        <v>279</v>
      </c>
      <c r="J72" s="127"/>
      <c r="K72" s="127" t="s">
        <v>280</v>
      </c>
      <c r="L72" s="127" t="s">
        <v>406</v>
      </c>
      <c r="M72" s="127"/>
      <c r="N72" s="127"/>
      <c r="O72" s="127"/>
      <c r="P72" s="127"/>
      <c r="Q72" s="127"/>
      <c r="R72" s="127"/>
      <c r="S72" s="127"/>
      <c r="T72" s="127"/>
      <c r="U72" s="117" t="s">
        <v>282</v>
      </c>
    </row>
    <row r="73" spans="1:21" ht="10" customHeight="1" x14ac:dyDescent="0.35">
      <c r="A73" s="126" t="s">
        <v>292</v>
      </c>
      <c r="B73" s="117">
        <v>15</v>
      </c>
      <c r="C73" s="126"/>
      <c r="D73" s="116" t="s">
        <v>392</v>
      </c>
      <c r="E73" s="126" t="s">
        <v>427</v>
      </c>
      <c r="F73" s="126" t="s">
        <v>277</v>
      </c>
      <c r="G73" s="126"/>
      <c r="H73" s="127" t="s">
        <v>93</v>
      </c>
      <c r="I73" s="127" t="s">
        <v>93</v>
      </c>
      <c r="J73" s="127"/>
      <c r="K73" s="127" t="s">
        <v>280</v>
      </c>
      <c r="L73" s="127" t="s">
        <v>328</v>
      </c>
      <c r="M73" s="127"/>
      <c r="N73" s="127"/>
      <c r="O73" s="127"/>
      <c r="P73" s="127"/>
      <c r="Q73" s="127"/>
      <c r="R73" s="127"/>
      <c r="S73" s="127"/>
      <c r="T73" s="127"/>
      <c r="U73" s="117" t="s">
        <v>282</v>
      </c>
    </row>
    <row r="74" spans="1:21" ht="10" customHeight="1" x14ac:dyDescent="0.35">
      <c r="A74" s="126" t="s">
        <v>357</v>
      </c>
      <c r="B74" s="117">
        <v>10</v>
      </c>
      <c r="C74" s="126"/>
      <c r="D74" s="116" t="s">
        <v>399</v>
      </c>
      <c r="E74" s="126" t="s">
        <v>428</v>
      </c>
      <c r="F74" s="126" t="s">
        <v>277</v>
      </c>
      <c r="G74" s="126"/>
      <c r="H74" s="127" t="s">
        <v>295</v>
      </c>
      <c r="I74" s="127" t="s">
        <v>429</v>
      </c>
      <c r="J74" s="127"/>
      <c r="K74" s="127" t="s">
        <v>280</v>
      </c>
      <c r="L74" s="127" t="s">
        <v>430</v>
      </c>
      <c r="M74" s="127"/>
      <c r="N74" s="127"/>
      <c r="O74" s="127"/>
      <c r="P74" s="127"/>
      <c r="Q74" s="127"/>
      <c r="R74" s="127"/>
      <c r="S74" s="127"/>
      <c r="T74" s="127"/>
      <c r="U74" s="117" t="s">
        <v>282</v>
      </c>
    </row>
    <row r="75" spans="1:21" ht="10" customHeight="1" x14ac:dyDescent="0.35">
      <c r="A75" s="126" t="s">
        <v>87</v>
      </c>
      <c r="B75" s="117">
        <v>20</v>
      </c>
      <c r="C75" s="126"/>
      <c r="D75" s="116" t="s">
        <v>399</v>
      </c>
      <c r="E75" s="126" t="s">
        <v>431</v>
      </c>
      <c r="F75" s="126" t="s">
        <v>277</v>
      </c>
      <c r="G75" s="126"/>
      <c r="H75" s="127" t="s">
        <v>295</v>
      </c>
      <c r="I75" s="127" t="s">
        <v>432</v>
      </c>
      <c r="J75" s="127"/>
      <c r="K75" s="127" t="s">
        <v>280</v>
      </c>
      <c r="L75" s="127" t="s">
        <v>430</v>
      </c>
      <c r="M75" s="127"/>
      <c r="N75" s="127"/>
      <c r="O75" s="127"/>
      <c r="P75" s="127"/>
      <c r="Q75" s="127"/>
      <c r="R75" s="127"/>
      <c r="S75" s="127"/>
      <c r="T75" s="127"/>
      <c r="U75" s="117" t="s">
        <v>282</v>
      </c>
    </row>
    <row r="76" spans="1:21" ht="10" customHeight="1" x14ac:dyDescent="0.35">
      <c r="A76" s="126" t="s">
        <v>87</v>
      </c>
      <c r="B76" s="117">
        <v>2</v>
      </c>
      <c r="C76" s="126"/>
      <c r="D76" s="116" t="s">
        <v>337</v>
      </c>
      <c r="E76" s="126" t="s">
        <v>433</v>
      </c>
      <c r="F76" s="126" t="s">
        <v>277</v>
      </c>
      <c r="G76" s="126"/>
      <c r="H76" s="127" t="s">
        <v>295</v>
      </c>
      <c r="I76" s="127" t="s">
        <v>279</v>
      </c>
      <c r="J76" s="127"/>
      <c r="K76" s="127" t="s">
        <v>280</v>
      </c>
      <c r="L76" s="127" t="s">
        <v>368</v>
      </c>
      <c r="M76" s="127"/>
      <c r="N76" s="127"/>
      <c r="O76" s="127"/>
      <c r="P76" s="127"/>
      <c r="Q76" s="127"/>
      <c r="R76" s="127"/>
      <c r="S76" s="127"/>
      <c r="T76" s="127"/>
      <c r="U76" s="117" t="s">
        <v>282</v>
      </c>
    </row>
    <row r="77" spans="1:21" ht="10" customHeight="1" x14ac:dyDescent="0.35">
      <c r="A77" s="126" t="s">
        <v>87</v>
      </c>
      <c r="B77" s="117">
        <v>1</v>
      </c>
      <c r="C77" s="126"/>
      <c r="D77" s="116" t="s">
        <v>317</v>
      </c>
      <c r="E77" s="126" t="s">
        <v>434</v>
      </c>
      <c r="F77" s="126" t="s">
        <v>277</v>
      </c>
      <c r="G77" s="126"/>
      <c r="H77" s="127" t="s">
        <v>93</v>
      </c>
      <c r="I77" s="127" t="s">
        <v>93</v>
      </c>
      <c r="J77" s="127"/>
      <c r="K77" s="127" t="s">
        <v>280</v>
      </c>
      <c r="L77" s="127" t="s">
        <v>394</v>
      </c>
      <c r="M77" s="127"/>
      <c r="N77" s="127"/>
      <c r="O77" s="127"/>
      <c r="P77" s="127"/>
      <c r="Q77" s="127"/>
      <c r="R77" s="127"/>
      <c r="S77" s="127"/>
      <c r="T77" s="127"/>
      <c r="U77" s="117" t="s">
        <v>288</v>
      </c>
    </row>
    <row r="78" spans="1:21" ht="10" customHeight="1" x14ac:dyDescent="0.35">
      <c r="A78" s="126" t="s">
        <v>87</v>
      </c>
      <c r="B78" s="117">
        <v>3</v>
      </c>
      <c r="C78" s="126"/>
      <c r="D78" s="116" t="s">
        <v>399</v>
      </c>
      <c r="E78" s="126" t="s">
        <v>435</v>
      </c>
      <c r="F78" s="126" t="s">
        <v>277</v>
      </c>
      <c r="G78" s="126"/>
      <c r="H78" s="127" t="s">
        <v>295</v>
      </c>
      <c r="I78" s="127" t="s">
        <v>279</v>
      </c>
      <c r="J78" s="127"/>
      <c r="K78" s="127" t="s">
        <v>280</v>
      </c>
      <c r="L78" s="127" t="s">
        <v>436</v>
      </c>
      <c r="M78" s="127"/>
      <c r="N78" s="127"/>
      <c r="O78" s="127"/>
      <c r="P78" s="127"/>
      <c r="Q78" s="127"/>
      <c r="R78" s="127"/>
      <c r="S78" s="127"/>
      <c r="T78" s="127"/>
      <c r="U78" s="117" t="s">
        <v>282</v>
      </c>
    </row>
    <row r="79" spans="1:21" ht="10" customHeight="1" x14ac:dyDescent="0.35">
      <c r="A79" s="126" t="s">
        <v>292</v>
      </c>
      <c r="B79" s="117">
        <v>19</v>
      </c>
      <c r="C79" s="126"/>
      <c r="D79" s="116" t="s">
        <v>314</v>
      </c>
      <c r="E79" s="126" t="s">
        <v>437</v>
      </c>
      <c r="F79" s="126" t="s">
        <v>277</v>
      </c>
      <c r="G79" s="126"/>
      <c r="H79" s="127" t="s">
        <v>93</v>
      </c>
      <c r="I79" s="127" t="s">
        <v>93</v>
      </c>
      <c r="J79" s="127"/>
      <c r="K79" s="127" t="s">
        <v>280</v>
      </c>
      <c r="L79" s="127" t="s">
        <v>328</v>
      </c>
      <c r="M79" s="127"/>
      <c r="N79" s="127"/>
      <c r="O79" s="127"/>
      <c r="P79" s="127"/>
      <c r="Q79" s="127"/>
      <c r="R79" s="127"/>
      <c r="S79" s="127"/>
      <c r="T79" s="127"/>
      <c r="U79" s="117" t="s">
        <v>282</v>
      </c>
    </row>
    <row r="80" spans="1:21" ht="10" customHeight="1" x14ac:dyDescent="0.35">
      <c r="A80" s="126" t="s">
        <v>87</v>
      </c>
      <c r="B80" s="117">
        <v>2</v>
      </c>
      <c r="C80" s="126"/>
      <c r="D80" s="116" t="s">
        <v>337</v>
      </c>
      <c r="E80" s="126" t="s">
        <v>438</v>
      </c>
      <c r="F80" s="126" t="s">
        <v>277</v>
      </c>
      <c r="G80" s="126"/>
      <c r="H80" s="127" t="s">
        <v>295</v>
      </c>
      <c r="I80" s="127" t="s">
        <v>279</v>
      </c>
      <c r="J80" s="127"/>
      <c r="K80" s="127" t="s">
        <v>280</v>
      </c>
      <c r="L80" s="127" t="s">
        <v>439</v>
      </c>
      <c r="M80" s="127"/>
      <c r="N80" s="127"/>
      <c r="O80" s="127"/>
      <c r="P80" s="127"/>
      <c r="Q80" s="127"/>
      <c r="R80" s="127"/>
      <c r="S80" s="127"/>
      <c r="T80" s="127"/>
      <c r="U80" s="117" t="s">
        <v>282</v>
      </c>
    </row>
    <row r="81" spans="1:21" ht="10" customHeight="1" x14ac:dyDescent="0.35">
      <c r="A81" s="126" t="s">
        <v>87</v>
      </c>
      <c r="B81" s="117">
        <v>4</v>
      </c>
      <c r="C81" s="126"/>
      <c r="D81" s="116" t="s">
        <v>440</v>
      </c>
      <c r="E81" s="126" t="s">
        <v>441</v>
      </c>
      <c r="F81" s="126" t="s">
        <v>277</v>
      </c>
      <c r="G81" s="126"/>
      <c r="H81" s="127" t="s">
        <v>278</v>
      </c>
      <c r="I81" s="127" t="s">
        <v>279</v>
      </c>
      <c r="J81" s="127"/>
      <c r="K81" s="127" t="s">
        <v>280</v>
      </c>
      <c r="L81" s="127" t="s">
        <v>439</v>
      </c>
      <c r="M81" s="127"/>
      <c r="N81" s="127"/>
      <c r="O81" s="127"/>
      <c r="P81" s="127"/>
      <c r="Q81" s="127"/>
      <c r="R81" s="127"/>
      <c r="S81" s="127"/>
      <c r="T81" s="127"/>
      <c r="U81" s="117" t="s">
        <v>288</v>
      </c>
    </row>
    <row r="82" spans="1:21" ht="10" customHeight="1" x14ac:dyDescent="0.35">
      <c r="A82" s="126" t="s">
        <v>87</v>
      </c>
      <c r="B82" s="117">
        <v>4</v>
      </c>
      <c r="C82" s="126"/>
      <c r="D82" s="116" t="s">
        <v>284</v>
      </c>
      <c r="E82" s="126" t="s">
        <v>442</v>
      </c>
      <c r="F82" s="126" t="s">
        <v>277</v>
      </c>
      <c r="G82" s="126"/>
      <c r="H82" s="127" t="s">
        <v>93</v>
      </c>
      <c r="I82" s="127" t="s">
        <v>443</v>
      </c>
      <c r="J82" s="127"/>
      <c r="K82" s="127" t="s">
        <v>280</v>
      </c>
      <c r="L82" s="127" t="s">
        <v>368</v>
      </c>
      <c r="M82" s="127"/>
      <c r="N82" s="127"/>
      <c r="O82" s="127"/>
      <c r="P82" s="127"/>
      <c r="Q82" s="127"/>
      <c r="R82" s="127"/>
      <c r="S82" s="127"/>
      <c r="T82" s="127"/>
      <c r="U82" s="117" t="s">
        <v>282</v>
      </c>
    </row>
    <row r="83" spans="1:21" ht="10" customHeight="1" x14ac:dyDescent="0.35">
      <c r="A83" s="126" t="s">
        <v>357</v>
      </c>
      <c r="B83" s="117">
        <v>16</v>
      </c>
      <c r="C83" s="126"/>
      <c r="D83" s="116" t="s">
        <v>289</v>
      </c>
      <c r="E83" s="126" t="s">
        <v>444</v>
      </c>
      <c r="F83" s="126" t="s">
        <v>277</v>
      </c>
      <c r="G83" s="126"/>
      <c r="H83" s="127" t="s">
        <v>445</v>
      </c>
      <c r="I83" s="127" t="s">
        <v>279</v>
      </c>
      <c r="J83" s="127"/>
      <c r="K83" s="127" t="s">
        <v>280</v>
      </c>
      <c r="L83" s="127" t="s">
        <v>406</v>
      </c>
      <c r="M83" s="127"/>
      <c r="N83" s="127"/>
      <c r="O83" s="127"/>
      <c r="P83" s="127"/>
      <c r="Q83" s="127"/>
      <c r="R83" s="127"/>
      <c r="S83" s="127"/>
      <c r="T83" s="127"/>
      <c r="U83" s="117" t="s">
        <v>282</v>
      </c>
    </row>
    <row r="84" spans="1:21" ht="10" customHeight="1" x14ac:dyDescent="0.35">
      <c r="A84" s="126" t="s">
        <v>87</v>
      </c>
      <c r="B84" s="117">
        <v>2</v>
      </c>
      <c r="C84" s="126"/>
      <c r="D84" s="116" t="s">
        <v>337</v>
      </c>
      <c r="E84" s="126" t="s">
        <v>446</v>
      </c>
      <c r="F84" s="126" t="s">
        <v>277</v>
      </c>
      <c r="G84" s="126"/>
      <c r="H84" s="127" t="s">
        <v>295</v>
      </c>
      <c r="I84" s="127" t="s">
        <v>279</v>
      </c>
      <c r="J84" s="127"/>
      <c r="K84" s="127" t="s">
        <v>280</v>
      </c>
      <c r="L84" s="127" t="s">
        <v>439</v>
      </c>
      <c r="M84" s="127"/>
      <c r="N84" s="127"/>
      <c r="O84" s="127"/>
      <c r="P84" s="127"/>
      <c r="Q84" s="127"/>
      <c r="R84" s="127"/>
      <c r="S84" s="127"/>
      <c r="T84" s="127"/>
      <c r="U84" s="117" t="s">
        <v>282</v>
      </c>
    </row>
    <row r="85" spans="1:21" ht="10" customHeight="1" x14ac:dyDescent="0.35">
      <c r="A85" s="126" t="s">
        <v>357</v>
      </c>
      <c r="B85" s="117">
        <v>24</v>
      </c>
      <c r="C85" s="126"/>
      <c r="D85" s="116" t="s">
        <v>244</v>
      </c>
      <c r="E85" s="126" t="s">
        <v>447</v>
      </c>
      <c r="F85" s="126" t="s">
        <v>277</v>
      </c>
      <c r="G85" s="126"/>
      <c r="H85" s="127" t="s">
        <v>93</v>
      </c>
      <c r="I85" s="127" t="s">
        <v>448</v>
      </c>
      <c r="J85" s="127"/>
      <c r="K85" s="127" t="s">
        <v>280</v>
      </c>
      <c r="L85" s="127" t="s">
        <v>449</v>
      </c>
      <c r="M85" s="127"/>
      <c r="N85" s="127"/>
      <c r="O85" s="127"/>
      <c r="P85" s="127"/>
      <c r="Q85" s="127"/>
      <c r="R85" s="127"/>
      <c r="S85" s="127"/>
      <c r="T85" s="127"/>
      <c r="U85" s="117" t="s">
        <v>282</v>
      </c>
    </row>
    <row r="86" spans="1:21" ht="10" customHeight="1" x14ac:dyDescent="0.35">
      <c r="A86" s="126" t="s">
        <v>359</v>
      </c>
      <c r="B86" s="117">
        <v>5</v>
      </c>
      <c r="C86" s="126"/>
      <c r="D86" s="116" t="s">
        <v>248</v>
      </c>
      <c r="E86" s="126" t="s">
        <v>450</v>
      </c>
      <c r="F86" s="126" t="s">
        <v>277</v>
      </c>
      <c r="G86" s="126"/>
      <c r="H86" s="127" t="s">
        <v>295</v>
      </c>
      <c r="I86" s="127" t="s">
        <v>279</v>
      </c>
      <c r="J86" s="127"/>
      <c r="K86" s="127" t="s">
        <v>280</v>
      </c>
      <c r="L86" s="127" t="s">
        <v>451</v>
      </c>
      <c r="M86" s="127"/>
      <c r="N86" s="127"/>
      <c r="O86" s="127"/>
      <c r="P86" s="127"/>
      <c r="Q86" s="127"/>
      <c r="R86" s="127"/>
      <c r="S86" s="127"/>
      <c r="T86" s="129"/>
      <c r="U86" s="117" t="s">
        <v>288</v>
      </c>
    </row>
    <row r="87" spans="1:21" ht="10" customHeight="1" x14ac:dyDescent="0.35">
      <c r="A87" s="126" t="s">
        <v>359</v>
      </c>
      <c r="B87" s="117">
        <v>5</v>
      </c>
      <c r="C87" s="126"/>
      <c r="D87" s="116" t="s">
        <v>352</v>
      </c>
      <c r="E87" s="126" t="s">
        <v>452</v>
      </c>
      <c r="F87" s="126" t="s">
        <v>277</v>
      </c>
      <c r="G87" s="126"/>
      <c r="H87" s="127" t="s">
        <v>295</v>
      </c>
      <c r="I87" s="127" t="s">
        <v>279</v>
      </c>
      <c r="J87" s="127"/>
      <c r="K87" s="127" t="s">
        <v>280</v>
      </c>
      <c r="L87" s="127" t="s">
        <v>451</v>
      </c>
      <c r="M87" s="127"/>
      <c r="N87" s="127"/>
      <c r="O87" s="127"/>
      <c r="P87" s="127"/>
      <c r="Q87" s="127"/>
      <c r="R87" s="127"/>
      <c r="S87" s="127"/>
      <c r="T87" s="129"/>
      <c r="U87" s="117" t="s">
        <v>288</v>
      </c>
    </row>
    <row r="88" spans="1:21" ht="10" customHeight="1" x14ac:dyDescent="0.35">
      <c r="A88" s="126" t="s">
        <v>453</v>
      </c>
      <c r="B88" s="117">
        <v>1</v>
      </c>
      <c r="C88" s="126"/>
      <c r="D88" s="116" t="s">
        <v>317</v>
      </c>
      <c r="E88" s="126" t="s">
        <v>454</v>
      </c>
      <c r="F88" s="126" t="s">
        <v>277</v>
      </c>
      <c r="G88" s="126"/>
      <c r="H88" s="127" t="s">
        <v>93</v>
      </c>
      <c r="I88" s="127" t="s">
        <v>93</v>
      </c>
      <c r="J88" s="127"/>
      <c r="K88" s="127" t="s">
        <v>280</v>
      </c>
      <c r="L88" s="127" t="s">
        <v>328</v>
      </c>
      <c r="M88" s="127"/>
      <c r="N88" s="127"/>
      <c r="O88" s="127"/>
      <c r="P88" s="127"/>
      <c r="Q88" s="127"/>
      <c r="R88" s="127"/>
      <c r="S88" s="127"/>
      <c r="T88" s="127"/>
      <c r="U88" s="117" t="s">
        <v>282</v>
      </c>
    </row>
    <row r="89" spans="1:21" ht="10" customHeight="1" x14ac:dyDescent="0.35">
      <c r="A89" s="130" t="s">
        <v>87</v>
      </c>
      <c r="B89" s="117">
        <v>4</v>
      </c>
      <c r="C89" s="130"/>
      <c r="D89" s="116" t="s">
        <v>455</v>
      </c>
      <c r="E89" s="130" t="s">
        <v>456</v>
      </c>
      <c r="F89" s="130" t="s">
        <v>277</v>
      </c>
      <c r="G89" s="130"/>
      <c r="H89" s="129" t="s">
        <v>278</v>
      </c>
      <c r="I89" s="129" t="s">
        <v>279</v>
      </c>
      <c r="J89" s="129"/>
      <c r="K89" s="129" t="s">
        <v>280</v>
      </c>
      <c r="L89" s="129" t="s">
        <v>439</v>
      </c>
      <c r="M89" s="129"/>
      <c r="N89" s="129"/>
      <c r="O89" s="129"/>
      <c r="P89" s="129"/>
      <c r="Q89" s="129"/>
      <c r="R89" s="129"/>
      <c r="S89" s="129"/>
      <c r="T89" s="129"/>
      <c r="U89" s="117" t="s">
        <v>288</v>
      </c>
    </row>
    <row r="90" spans="1:21" ht="10" customHeight="1" x14ac:dyDescent="0.35">
      <c r="A90" s="130" t="s">
        <v>87</v>
      </c>
      <c r="B90" s="117">
        <v>2</v>
      </c>
      <c r="C90" s="130"/>
      <c r="D90" s="116" t="s">
        <v>457</v>
      </c>
      <c r="E90" s="130" t="s">
        <v>458</v>
      </c>
      <c r="F90" s="130" t="s">
        <v>277</v>
      </c>
      <c r="G90" s="130"/>
      <c r="H90" s="129" t="s">
        <v>295</v>
      </c>
      <c r="I90" s="129" t="s">
        <v>279</v>
      </c>
      <c r="J90" s="129"/>
      <c r="K90" s="129" t="s">
        <v>280</v>
      </c>
      <c r="L90" s="129" t="s">
        <v>459</v>
      </c>
      <c r="M90" s="129"/>
      <c r="N90" s="129"/>
      <c r="O90" s="129"/>
      <c r="P90" s="129"/>
      <c r="Q90" s="129"/>
      <c r="R90" s="129"/>
      <c r="S90" s="129"/>
      <c r="T90" s="129"/>
      <c r="U90" s="117" t="s">
        <v>288</v>
      </c>
    </row>
    <row r="91" spans="1:21" ht="10" customHeight="1" x14ac:dyDescent="0.35">
      <c r="A91" s="130" t="s">
        <v>87</v>
      </c>
      <c r="B91" s="117">
        <v>2</v>
      </c>
      <c r="C91" s="130"/>
      <c r="D91" s="116" t="s">
        <v>460</v>
      </c>
      <c r="E91" s="130" t="s">
        <v>461</v>
      </c>
      <c r="F91" s="130" t="s">
        <v>277</v>
      </c>
      <c r="G91" s="130"/>
      <c r="H91" s="129" t="s">
        <v>93</v>
      </c>
      <c r="I91" s="129" t="s">
        <v>279</v>
      </c>
      <c r="J91" s="129"/>
      <c r="K91" s="129" t="s">
        <v>280</v>
      </c>
      <c r="L91" s="129" t="s">
        <v>462</v>
      </c>
      <c r="M91" s="129"/>
      <c r="N91" s="129"/>
      <c r="O91" s="129"/>
      <c r="P91" s="129"/>
      <c r="Q91" s="129"/>
      <c r="R91" s="129"/>
      <c r="S91" s="129"/>
      <c r="T91" s="129"/>
      <c r="U91" s="117" t="s">
        <v>288</v>
      </c>
    </row>
    <row r="92" spans="1:21" ht="10" customHeight="1" x14ac:dyDescent="0.35">
      <c r="A92" s="130" t="s">
        <v>87</v>
      </c>
      <c r="B92" s="117">
        <v>10</v>
      </c>
      <c r="C92" s="130"/>
      <c r="D92" s="116" t="s">
        <v>463</v>
      </c>
      <c r="E92" s="130" t="s">
        <v>464</v>
      </c>
      <c r="F92" s="130" t="s">
        <v>277</v>
      </c>
      <c r="G92" s="130"/>
      <c r="H92" s="129" t="s">
        <v>295</v>
      </c>
      <c r="I92" s="129" t="s">
        <v>279</v>
      </c>
      <c r="J92" s="129"/>
      <c r="K92" s="129" t="s">
        <v>280</v>
      </c>
      <c r="L92" s="129" t="s">
        <v>439</v>
      </c>
      <c r="M92" s="129"/>
      <c r="N92" s="129"/>
      <c r="O92" s="129"/>
      <c r="P92" s="129"/>
      <c r="Q92" s="129"/>
      <c r="R92" s="129"/>
      <c r="S92" s="129"/>
      <c r="T92" s="129"/>
      <c r="U92" s="117" t="s">
        <v>282</v>
      </c>
    </row>
    <row r="93" spans="1:21" ht="10" customHeight="1" x14ac:dyDescent="0.35">
      <c r="A93" s="130" t="s">
        <v>87</v>
      </c>
      <c r="B93" s="117">
        <v>4</v>
      </c>
      <c r="C93" s="130"/>
      <c r="D93" s="116" t="s">
        <v>329</v>
      </c>
      <c r="E93" s="130" t="s">
        <v>465</v>
      </c>
      <c r="F93" s="130" t="s">
        <v>277</v>
      </c>
      <c r="G93" s="130"/>
      <c r="H93" s="129" t="s">
        <v>93</v>
      </c>
      <c r="I93" s="129" t="s">
        <v>466</v>
      </c>
      <c r="J93" s="129"/>
      <c r="K93" s="129" t="s">
        <v>280</v>
      </c>
      <c r="L93" s="129" t="s">
        <v>449</v>
      </c>
      <c r="M93" s="129"/>
      <c r="N93" s="129"/>
      <c r="O93" s="129"/>
      <c r="P93" s="129"/>
      <c r="Q93" s="129"/>
      <c r="R93" s="129"/>
      <c r="S93" s="129"/>
      <c r="T93" s="129"/>
      <c r="U93" s="117" t="s">
        <v>282</v>
      </c>
    </row>
    <row r="94" spans="1:21" ht="10" customHeight="1" x14ac:dyDescent="0.35">
      <c r="A94" s="130" t="s">
        <v>87</v>
      </c>
      <c r="B94" s="117">
        <v>2</v>
      </c>
      <c r="C94" s="130"/>
      <c r="D94" s="116" t="s">
        <v>337</v>
      </c>
      <c r="E94" s="130" t="s">
        <v>467</v>
      </c>
      <c r="F94" s="130" t="s">
        <v>277</v>
      </c>
      <c r="G94" s="130"/>
      <c r="H94" s="129" t="s">
        <v>295</v>
      </c>
      <c r="I94" s="129" t="s">
        <v>279</v>
      </c>
      <c r="J94" s="129"/>
      <c r="K94" s="129" t="s">
        <v>280</v>
      </c>
      <c r="L94" s="129" t="s">
        <v>439</v>
      </c>
      <c r="M94" s="129"/>
      <c r="N94" s="129"/>
      <c r="O94" s="129"/>
      <c r="P94" s="129"/>
      <c r="Q94" s="129"/>
      <c r="R94" s="129"/>
      <c r="S94" s="129"/>
      <c r="T94" s="129"/>
      <c r="U94" s="117" t="s">
        <v>282</v>
      </c>
    </row>
    <row r="95" spans="1:21" ht="10" customHeight="1" x14ac:dyDescent="0.35">
      <c r="A95" s="130" t="s">
        <v>87</v>
      </c>
      <c r="B95" s="117">
        <v>4</v>
      </c>
      <c r="C95" s="130"/>
      <c r="D95" s="116" t="s">
        <v>468</v>
      </c>
      <c r="E95" s="130" t="s">
        <v>469</v>
      </c>
      <c r="F95" s="130" t="s">
        <v>277</v>
      </c>
      <c r="G95" s="130"/>
      <c r="H95" s="129" t="s">
        <v>295</v>
      </c>
      <c r="I95" s="129" t="s">
        <v>470</v>
      </c>
      <c r="J95" s="129"/>
      <c r="K95" s="129" t="s">
        <v>280</v>
      </c>
      <c r="L95" s="129" t="s">
        <v>449</v>
      </c>
      <c r="M95" s="129"/>
      <c r="N95" s="129"/>
      <c r="O95" s="129"/>
      <c r="P95" s="129"/>
      <c r="Q95" s="129"/>
      <c r="R95" s="129"/>
      <c r="S95" s="129"/>
      <c r="T95" s="129"/>
      <c r="U95" s="117" t="s">
        <v>282</v>
      </c>
    </row>
    <row r="96" spans="1:21" ht="10" customHeight="1" x14ac:dyDescent="0.35">
      <c r="A96" s="130" t="s">
        <v>87</v>
      </c>
      <c r="B96" s="117">
        <v>2</v>
      </c>
      <c r="C96" s="130"/>
      <c r="D96" s="116" t="s">
        <v>471</v>
      </c>
      <c r="E96" s="130" t="s">
        <v>472</v>
      </c>
      <c r="F96" s="130" t="s">
        <v>277</v>
      </c>
      <c r="G96" s="130"/>
      <c r="H96" s="129" t="s">
        <v>278</v>
      </c>
      <c r="I96" s="129" t="s">
        <v>473</v>
      </c>
      <c r="J96" s="129"/>
      <c r="K96" s="129" t="s">
        <v>280</v>
      </c>
      <c r="L96" s="129" t="s">
        <v>439</v>
      </c>
      <c r="M96" s="129"/>
      <c r="N96" s="129"/>
      <c r="O96" s="129"/>
      <c r="P96" s="129"/>
      <c r="Q96" s="129"/>
      <c r="R96" s="129"/>
      <c r="S96" s="129"/>
      <c r="T96" s="129"/>
      <c r="U96" s="117" t="s">
        <v>282</v>
      </c>
    </row>
    <row r="97" spans="1:21" ht="10" customHeight="1" x14ac:dyDescent="0.35">
      <c r="A97" s="130" t="s">
        <v>87</v>
      </c>
      <c r="B97" s="117">
        <v>16</v>
      </c>
      <c r="C97" s="130"/>
      <c r="D97" s="116" t="s">
        <v>26</v>
      </c>
      <c r="E97" s="130" t="s">
        <v>474</v>
      </c>
      <c r="F97" s="130" t="s">
        <v>277</v>
      </c>
      <c r="G97" s="130"/>
      <c r="H97" s="129" t="s">
        <v>445</v>
      </c>
      <c r="I97" s="129" t="s">
        <v>279</v>
      </c>
      <c r="J97" s="129"/>
      <c r="K97" s="129" t="s">
        <v>280</v>
      </c>
      <c r="L97" s="129" t="s">
        <v>462</v>
      </c>
      <c r="M97" s="129"/>
      <c r="N97" s="129"/>
      <c r="O97" s="129"/>
      <c r="P97" s="129"/>
      <c r="Q97" s="129"/>
      <c r="R97" s="129"/>
      <c r="S97" s="129"/>
      <c r="T97" s="129"/>
      <c r="U97" s="117" t="s">
        <v>282</v>
      </c>
    </row>
    <row r="98" spans="1:21" ht="10" customHeight="1" x14ac:dyDescent="0.35">
      <c r="A98" s="130" t="s">
        <v>87</v>
      </c>
      <c r="B98" s="117">
        <v>2</v>
      </c>
      <c r="C98" s="130"/>
      <c r="D98" s="116" t="s">
        <v>475</v>
      </c>
      <c r="E98" s="130" t="s">
        <v>476</v>
      </c>
      <c r="F98" s="130" t="s">
        <v>277</v>
      </c>
      <c r="G98" s="130"/>
      <c r="H98" s="129" t="s">
        <v>295</v>
      </c>
      <c r="I98" s="129" t="s">
        <v>279</v>
      </c>
      <c r="J98" s="129"/>
      <c r="K98" s="129" t="s">
        <v>280</v>
      </c>
      <c r="L98" s="129" t="s">
        <v>439</v>
      </c>
      <c r="M98" s="129"/>
      <c r="N98" s="129"/>
      <c r="O98" s="129"/>
      <c r="P98" s="129"/>
      <c r="Q98" s="129"/>
      <c r="R98" s="129"/>
      <c r="S98" s="129"/>
      <c r="T98" s="129"/>
      <c r="U98" s="117" t="s">
        <v>282</v>
      </c>
    </row>
    <row r="99" spans="1:21" ht="10" customHeight="1" x14ac:dyDescent="0.35">
      <c r="A99" s="130" t="s">
        <v>87</v>
      </c>
      <c r="B99" s="117">
        <v>4</v>
      </c>
      <c r="C99" s="130"/>
      <c r="D99" s="116" t="s">
        <v>477</v>
      </c>
      <c r="E99" s="130" t="s">
        <v>478</v>
      </c>
      <c r="F99" s="130" t="s">
        <v>277</v>
      </c>
      <c r="G99" s="130"/>
      <c r="H99" s="129" t="s">
        <v>295</v>
      </c>
      <c r="I99" s="129" t="s">
        <v>279</v>
      </c>
      <c r="J99" s="129"/>
      <c r="K99" s="129" t="s">
        <v>280</v>
      </c>
      <c r="L99" s="129" t="s">
        <v>462</v>
      </c>
      <c r="M99" s="129"/>
      <c r="N99" s="129"/>
      <c r="O99" s="129"/>
      <c r="P99" s="129"/>
      <c r="Q99" s="129"/>
      <c r="R99" s="129"/>
      <c r="S99" s="129"/>
      <c r="T99" s="129"/>
      <c r="U99" s="117" t="s">
        <v>282</v>
      </c>
    </row>
    <row r="100" spans="1:21" ht="10" customHeight="1" x14ac:dyDescent="0.35">
      <c r="A100" s="130" t="s">
        <v>87</v>
      </c>
      <c r="B100" s="117">
        <v>2</v>
      </c>
      <c r="C100" s="130"/>
      <c r="D100" s="116" t="s">
        <v>284</v>
      </c>
      <c r="E100" s="130" t="s">
        <v>479</v>
      </c>
      <c r="F100" s="130" t="s">
        <v>277</v>
      </c>
      <c r="G100" s="130"/>
      <c r="H100" s="129" t="s">
        <v>278</v>
      </c>
      <c r="I100" s="129" t="s">
        <v>480</v>
      </c>
      <c r="J100" s="129"/>
      <c r="K100" s="129" t="s">
        <v>280</v>
      </c>
      <c r="L100" s="129" t="s">
        <v>439</v>
      </c>
      <c r="M100" s="129"/>
      <c r="N100" s="129"/>
      <c r="O100" s="129"/>
      <c r="P100" s="129"/>
      <c r="Q100" s="129"/>
      <c r="R100" s="129"/>
      <c r="S100" s="129"/>
      <c r="T100" s="129"/>
      <c r="U100" s="117" t="s">
        <v>282</v>
      </c>
    </row>
    <row r="101" spans="1:21" ht="10" customHeight="1" x14ac:dyDescent="0.35">
      <c r="A101" s="130" t="s">
        <v>87</v>
      </c>
      <c r="B101" s="117">
        <v>2</v>
      </c>
      <c r="C101" s="130"/>
      <c r="D101" s="116" t="s">
        <v>337</v>
      </c>
      <c r="E101" s="130" t="s">
        <v>481</v>
      </c>
      <c r="F101" s="130" t="s">
        <v>277</v>
      </c>
      <c r="G101" s="130"/>
      <c r="H101" s="129" t="s">
        <v>295</v>
      </c>
      <c r="I101" s="129" t="s">
        <v>279</v>
      </c>
      <c r="J101" s="129"/>
      <c r="K101" s="129" t="s">
        <v>280</v>
      </c>
      <c r="L101" s="129" t="s">
        <v>439</v>
      </c>
      <c r="M101" s="129"/>
      <c r="N101" s="129"/>
      <c r="O101" s="129"/>
      <c r="P101" s="129"/>
      <c r="Q101" s="129"/>
      <c r="R101" s="129"/>
      <c r="S101" s="129"/>
      <c r="T101" s="129"/>
      <c r="U101" s="117" t="s">
        <v>282</v>
      </c>
    </row>
    <row r="102" spans="1:21" ht="10" customHeight="1" x14ac:dyDescent="0.35">
      <c r="A102" s="130" t="s">
        <v>87</v>
      </c>
      <c r="B102" s="117">
        <v>6</v>
      </c>
      <c r="C102" s="130"/>
      <c r="D102" s="116" t="s">
        <v>317</v>
      </c>
      <c r="E102" s="130" t="s">
        <v>482</v>
      </c>
      <c r="F102" s="130" t="s">
        <v>277</v>
      </c>
      <c r="G102" s="130"/>
      <c r="H102" s="165" t="s">
        <v>93</v>
      </c>
      <c r="I102" s="129" t="s">
        <v>93</v>
      </c>
      <c r="J102" s="129"/>
      <c r="K102" s="129" t="s">
        <v>280</v>
      </c>
      <c r="L102" s="129" t="s">
        <v>328</v>
      </c>
      <c r="M102" s="129"/>
      <c r="N102" s="129"/>
      <c r="O102" s="129"/>
      <c r="P102" s="129"/>
      <c r="Q102" s="129"/>
      <c r="R102" s="129"/>
      <c r="S102" s="129"/>
      <c r="T102" s="129"/>
      <c r="U102" s="117" t="s">
        <v>288</v>
      </c>
    </row>
    <row r="103" spans="1:21" ht="10" customHeight="1" x14ac:dyDescent="0.35">
      <c r="A103" s="130" t="s">
        <v>87</v>
      </c>
      <c r="B103" s="117">
        <v>6</v>
      </c>
      <c r="C103" s="130"/>
      <c r="D103" s="116" t="s">
        <v>297</v>
      </c>
      <c r="E103" s="130" t="s">
        <v>483</v>
      </c>
      <c r="F103" s="130" t="s">
        <v>277</v>
      </c>
      <c r="G103" s="130"/>
      <c r="H103" s="165" t="s">
        <v>93</v>
      </c>
      <c r="I103" s="129" t="s">
        <v>322</v>
      </c>
      <c r="J103" s="129"/>
      <c r="K103" s="129" t="s">
        <v>280</v>
      </c>
      <c r="L103" s="129" t="s">
        <v>484</v>
      </c>
      <c r="M103" s="129"/>
      <c r="N103" s="129"/>
      <c r="O103" s="129"/>
      <c r="P103" s="129"/>
      <c r="Q103" s="129"/>
      <c r="R103" s="129"/>
      <c r="S103" s="129"/>
      <c r="T103" s="129"/>
      <c r="U103" s="117" t="s">
        <v>282</v>
      </c>
    </row>
    <row r="104" spans="1:21" ht="10" customHeight="1" x14ac:dyDescent="0.35">
      <c r="A104" s="130" t="s">
        <v>87</v>
      </c>
      <c r="B104" s="117">
        <v>4</v>
      </c>
      <c r="C104" s="130"/>
      <c r="D104" s="116" t="s">
        <v>485</v>
      </c>
      <c r="E104" s="130" t="s">
        <v>486</v>
      </c>
      <c r="F104" s="130" t="s">
        <v>277</v>
      </c>
      <c r="G104" s="130"/>
      <c r="H104" s="129" t="s">
        <v>278</v>
      </c>
      <c r="I104" s="129" t="s">
        <v>487</v>
      </c>
      <c r="J104" s="129"/>
      <c r="K104" s="129" t="s">
        <v>280</v>
      </c>
      <c r="L104" s="129" t="s">
        <v>439</v>
      </c>
      <c r="M104" s="129"/>
      <c r="N104" s="129"/>
      <c r="O104" s="129"/>
      <c r="P104" s="129"/>
      <c r="Q104" s="129"/>
      <c r="R104" s="129"/>
      <c r="S104" s="129"/>
      <c r="T104" s="129"/>
      <c r="U104" s="117" t="s">
        <v>288</v>
      </c>
    </row>
    <row r="105" spans="1:21" ht="10" customHeight="1" x14ac:dyDescent="0.35">
      <c r="A105" s="130" t="s">
        <v>87</v>
      </c>
      <c r="B105" s="117">
        <v>2</v>
      </c>
      <c r="C105" s="130"/>
      <c r="D105" s="116" t="s">
        <v>488</v>
      </c>
      <c r="E105" s="130" t="s">
        <v>489</v>
      </c>
      <c r="F105" s="130" t="s">
        <v>277</v>
      </c>
      <c r="G105" s="130"/>
      <c r="H105" s="129" t="s">
        <v>278</v>
      </c>
      <c r="I105" s="129" t="s">
        <v>279</v>
      </c>
      <c r="J105" s="129"/>
      <c r="K105" s="129" t="s">
        <v>280</v>
      </c>
      <c r="L105" s="129" t="s">
        <v>490</v>
      </c>
      <c r="M105" s="129"/>
      <c r="N105" s="129"/>
      <c r="O105" s="129"/>
      <c r="P105" s="129"/>
      <c r="Q105" s="129"/>
      <c r="R105" s="129"/>
      <c r="S105" s="129"/>
      <c r="T105" s="129"/>
      <c r="U105" s="117" t="s">
        <v>288</v>
      </c>
    </row>
    <row r="106" spans="1:21" ht="10" customHeight="1" x14ac:dyDescent="0.35">
      <c r="A106" s="130" t="s">
        <v>359</v>
      </c>
      <c r="B106" s="117">
        <v>5</v>
      </c>
      <c r="C106" s="130"/>
      <c r="D106" s="116" t="s">
        <v>352</v>
      </c>
      <c r="E106" s="130" t="s">
        <v>491</v>
      </c>
      <c r="F106" s="130" t="s">
        <v>277</v>
      </c>
      <c r="G106" s="130"/>
      <c r="H106" s="129" t="s">
        <v>295</v>
      </c>
      <c r="I106" s="129" t="s">
        <v>279</v>
      </c>
      <c r="J106" s="129"/>
      <c r="K106" s="129" t="s">
        <v>280</v>
      </c>
      <c r="L106" s="129" t="s">
        <v>451</v>
      </c>
      <c r="M106" s="129"/>
      <c r="N106" s="129"/>
      <c r="O106" s="129"/>
      <c r="P106" s="129"/>
      <c r="Q106" s="129"/>
      <c r="R106" s="129"/>
      <c r="S106" s="129"/>
      <c r="T106" s="129"/>
      <c r="U106" s="117" t="s">
        <v>288</v>
      </c>
    </row>
    <row r="107" spans="1:21" ht="10" customHeight="1" x14ac:dyDescent="0.35">
      <c r="A107" s="130" t="s">
        <v>87</v>
      </c>
      <c r="B107" s="117">
        <v>4</v>
      </c>
      <c r="C107" s="130"/>
      <c r="D107" s="116" t="s">
        <v>492</v>
      </c>
      <c r="E107" s="130" t="s">
        <v>493</v>
      </c>
      <c r="F107" s="130" t="s">
        <v>277</v>
      </c>
      <c r="G107" s="130"/>
      <c r="H107" s="129" t="s">
        <v>295</v>
      </c>
      <c r="I107" s="129" t="s">
        <v>279</v>
      </c>
      <c r="J107" s="129"/>
      <c r="K107" s="129" t="s">
        <v>280</v>
      </c>
      <c r="L107" s="129" t="s">
        <v>494</v>
      </c>
      <c r="M107" s="129"/>
      <c r="N107" s="129"/>
      <c r="O107" s="129"/>
      <c r="P107" s="129"/>
      <c r="Q107" s="129"/>
      <c r="R107" s="129"/>
      <c r="S107" s="129"/>
      <c r="T107" s="129"/>
      <c r="U107" s="117" t="s">
        <v>282</v>
      </c>
    </row>
    <row r="108" spans="1:21" ht="10" customHeight="1" x14ac:dyDescent="0.35">
      <c r="A108" s="130" t="s">
        <v>87</v>
      </c>
      <c r="B108" s="117">
        <v>4</v>
      </c>
      <c r="C108" s="130"/>
      <c r="D108" s="116" t="s">
        <v>495</v>
      </c>
      <c r="E108" s="130" t="s">
        <v>496</v>
      </c>
      <c r="F108" s="130" t="s">
        <v>277</v>
      </c>
      <c r="G108" s="130"/>
      <c r="H108" s="129" t="s">
        <v>295</v>
      </c>
      <c r="I108" s="129" t="s">
        <v>279</v>
      </c>
      <c r="J108" s="129"/>
      <c r="K108" s="129" t="s">
        <v>280</v>
      </c>
      <c r="L108" s="129" t="s">
        <v>494</v>
      </c>
      <c r="M108" s="129"/>
      <c r="N108" s="129"/>
      <c r="O108" s="129"/>
      <c r="P108" s="129"/>
      <c r="Q108" s="129"/>
      <c r="R108" s="129"/>
      <c r="S108" s="129"/>
      <c r="T108" s="129"/>
      <c r="U108" s="117" t="s">
        <v>282</v>
      </c>
    </row>
    <row r="109" spans="1:21" ht="10" customHeight="1" x14ac:dyDescent="0.35">
      <c r="A109" s="130" t="s">
        <v>87</v>
      </c>
      <c r="B109" s="117">
        <v>4</v>
      </c>
      <c r="C109" s="130"/>
      <c r="D109" s="116" t="s">
        <v>314</v>
      </c>
      <c r="E109" s="130" t="s">
        <v>497</v>
      </c>
      <c r="F109" s="130" t="s">
        <v>277</v>
      </c>
      <c r="G109" s="130"/>
      <c r="H109" s="129" t="s">
        <v>279</v>
      </c>
      <c r="I109" s="129" t="s">
        <v>93</v>
      </c>
      <c r="J109" s="129"/>
      <c r="K109" s="129" t="s">
        <v>280</v>
      </c>
      <c r="L109" s="129" t="s">
        <v>328</v>
      </c>
      <c r="M109" s="129"/>
      <c r="N109" s="129"/>
      <c r="O109" s="129"/>
      <c r="P109" s="129"/>
      <c r="Q109" s="129"/>
      <c r="R109" s="129"/>
      <c r="S109" s="129"/>
      <c r="T109" s="129"/>
      <c r="U109" s="117" t="s">
        <v>282</v>
      </c>
    </row>
    <row r="110" spans="1:21" ht="10" customHeight="1" x14ac:dyDescent="0.35">
      <c r="A110" s="130" t="s">
        <v>87</v>
      </c>
      <c r="B110" s="117">
        <v>2</v>
      </c>
      <c r="C110" s="130"/>
      <c r="D110" s="116" t="s">
        <v>498</v>
      </c>
      <c r="E110" s="130" t="s">
        <v>499</v>
      </c>
      <c r="F110" s="130" t="s">
        <v>277</v>
      </c>
      <c r="G110" s="130"/>
      <c r="H110" s="129" t="s">
        <v>278</v>
      </c>
      <c r="I110" s="129" t="s">
        <v>279</v>
      </c>
      <c r="J110" s="129"/>
      <c r="K110" s="129" t="s">
        <v>280</v>
      </c>
      <c r="L110" s="129" t="s">
        <v>439</v>
      </c>
      <c r="M110" s="129"/>
      <c r="N110" s="129"/>
      <c r="O110" s="129"/>
      <c r="P110" s="129"/>
      <c r="Q110" s="129"/>
      <c r="R110" s="129"/>
      <c r="S110" s="129"/>
      <c r="T110" s="129"/>
      <c r="U110" s="117" t="s">
        <v>282</v>
      </c>
    </row>
    <row r="111" spans="1:21" ht="10" customHeight="1" x14ac:dyDescent="0.35">
      <c r="A111" s="130" t="s">
        <v>87</v>
      </c>
      <c r="B111" s="117">
        <v>2</v>
      </c>
      <c r="C111" s="130"/>
      <c r="D111" s="116" t="s">
        <v>500</v>
      </c>
      <c r="E111" s="130" t="s">
        <v>501</v>
      </c>
      <c r="F111" s="130" t="s">
        <v>277</v>
      </c>
      <c r="G111" s="130"/>
      <c r="H111" s="129" t="s">
        <v>278</v>
      </c>
      <c r="I111" s="129" t="s">
        <v>279</v>
      </c>
      <c r="J111" s="129"/>
      <c r="K111" s="129" t="s">
        <v>280</v>
      </c>
      <c r="L111" s="129" t="s">
        <v>502</v>
      </c>
      <c r="M111" s="129"/>
      <c r="N111" s="129"/>
      <c r="O111" s="129"/>
      <c r="P111" s="129"/>
      <c r="Q111" s="129"/>
      <c r="R111" s="129"/>
      <c r="S111" s="129"/>
      <c r="T111" s="129"/>
      <c r="U111" s="117" t="s">
        <v>282</v>
      </c>
    </row>
    <row r="112" spans="1:21" ht="10" customHeight="1" x14ac:dyDescent="0.35">
      <c r="A112" s="130" t="s">
        <v>87</v>
      </c>
      <c r="B112" s="117">
        <v>2</v>
      </c>
      <c r="C112" s="130"/>
      <c r="D112" s="116" t="s">
        <v>471</v>
      </c>
      <c r="E112" s="130" t="s">
        <v>503</v>
      </c>
      <c r="F112" s="130" t="s">
        <v>277</v>
      </c>
      <c r="G112" s="130"/>
      <c r="H112" s="129" t="s">
        <v>93</v>
      </c>
      <c r="I112" s="129" t="s">
        <v>504</v>
      </c>
      <c r="J112" s="129"/>
      <c r="K112" s="129" t="s">
        <v>280</v>
      </c>
      <c r="L112" s="129" t="s">
        <v>505</v>
      </c>
      <c r="M112" s="129"/>
      <c r="N112" s="129"/>
      <c r="O112" s="129"/>
      <c r="P112" s="129"/>
      <c r="Q112" s="129"/>
      <c r="R112" s="129"/>
      <c r="S112" s="129"/>
      <c r="T112" s="129"/>
      <c r="U112" s="117" t="s">
        <v>282</v>
      </c>
    </row>
    <row r="113" spans="1:21" ht="10" customHeight="1" x14ac:dyDescent="0.35">
      <c r="A113" s="130" t="s">
        <v>87</v>
      </c>
      <c r="B113" s="117">
        <v>6</v>
      </c>
      <c r="C113" s="130"/>
      <c r="D113" s="116" t="s">
        <v>297</v>
      </c>
      <c r="E113" s="130" t="s">
        <v>506</v>
      </c>
      <c r="F113" s="130" t="s">
        <v>277</v>
      </c>
      <c r="G113" s="130"/>
      <c r="H113" s="165" t="s">
        <v>93</v>
      </c>
      <c r="I113" s="129" t="s">
        <v>322</v>
      </c>
      <c r="J113" s="129"/>
      <c r="K113" s="129" t="s">
        <v>280</v>
      </c>
      <c r="L113" s="129" t="s">
        <v>484</v>
      </c>
      <c r="M113" s="129"/>
      <c r="N113" s="129"/>
      <c r="O113" s="129"/>
      <c r="P113" s="129"/>
      <c r="Q113" s="129"/>
      <c r="R113" s="129"/>
      <c r="S113" s="129"/>
      <c r="T113" s="129"/>
      <c r="U113" s="117" t="s">
        <v>282</v>
      </c>
    </row>
    <row r="114" spans="1:21" ht="10" customHeight="1" x14ac:dyDescent="0.35">
      <c r="A114" s="130" t="s">
        <v>87</v>
      </c>
      <c r="B114" s="117">
        <v>5</v>
      </c>
      <c r="C114" s="130"/>
      <c r="D114" s="116" t="s">
        <v>507</v>
      </c>
      <c r="E114" s="130" t="s">
        <v>508</v>
      </c>
      <c r="F114" s="130" t="s">
        <v>277</v>
      </c>
      <c r="G114" s="130"/>
      <c r="H114" s="129" t="s">
        <v>295</v>
      </c>
      <c r="I114" s="129" t="s">
        <v>279</v>
      </c>
      <c r="J114" s="129"/>
      <c r="K114" s="129" t="s">
        <v>280</v>
      </c>
      <c r="L114" s="129" t="s">
        <v>509</v>
      </c>
      <c r="M114" s="129"/>
      <c r="N114" s="129"/>
      <c r="O114" s="129"/>
      <c r="P114" s="129"/>
      <c r="Q114" s="129"/>
      <c r="R114" s="129"/>
      <c r="S114" s="129"/>
      <c r="T114" s="129"/>
      <c r="U114" s="117" t="s">
        <v>282</v>
      </c>
    </row>
    <row r="115" spans="1:21" ht="10" customHeight="1" x14ac:dyDescent="0.35">
      <c r="A115" s="130" t="s">
        <v>87</v>
      </c>
      <c r="B115" s="117">
        <v>6</v>
      </c>
      <c r="C115" s="130"/>
      <c r="D115" s="116" t="s">
        <v>510</v>
      </c>
      <c r="E115" s="130" t="s">
        <v>511</v>
      </c>
      <c r="F115" s="130" t="s">
        <v>277</v>
      </c>
      <c r="G115" s="130"/>
      <c r="H115" s="129" t="s">
        <v>278</v>
      </c>
      <c r="I115" s="129" t="s">
        <v>279</v>
      </c>
      <c r="J115" s="129"/>
      <c r="K115" s="129" t="s">
        <v>280</v>
      </c>
      <c r="L115" s="129" t="s">
        <v>505</v>
      </c>
      <c r="M115" s="129"/>
      <c r="N115" s="129"/>
      <c r="O115" s="129"/>
      <c r="P115" s="129"/>
      <c r="Q115" s="129"/>
      <c r="R115" s="129"/>
      <c r="S115" s="129"/>
      <c r="T115" s="129"/>
      <c r="U115" s="117" t="s">
        <v>282</v>
      </c>
    </row>
    <row r="116" spans="1:21" ht="10" customHeight="1" x14ac:dyDescent="0.35">
      <c r="A116" s="130" t="s">
        <v>87</v>
      </c>
      <c r="B116" s="117">
        <v>5</v>
      </c>
      <c r="C116" s="130"/>
      <c r="D116" s="116" t="s">
        <v>512</v>
      </c>
      <c r="E116" s="130" t="s">
        <v>513</v>
      </c>
      <c r="F116" s="130" t="s">
        <v>277</v>
      </c>
      <c r="G116" s="130"/>
      <c r="H116" s="129" t="s">
        <v>295</v>
      </c>
      <c r="I116" s="129" t="s">
        <v>279</v>
      </c>
      <c r="J116" s="129"/>
      <c r="K116" s="129" t="s">
        <v>280</v>
      </c>
      <c r="L116" s="129" t="s">
        <v>505</v>
      </c>
      <c r="M116" s="129"/>
      <c r="N116" s="129"/>
      <c r="O116" s="129"/>
      <c r="P116" s="129"/>
      <c r="Q116" s="129"/>
      <c r="R116" s="129"/>
      <c r="S116" s="129"/>
      <c r="T116" s="129"/>
      <c r="U116" s="117" t="s">
        <v>282</v>
      </c>
    </row>
    <row r="117" spans="1:21" ht="10" customHeight="1" x14ac:dyDescent="0.35">
      <c r="A117" s="130" t="s">
        <v>87</v>
      </c>
      <c r="B117" s="117">
        <v>8</v>
      </c>
      <c r="C117" s="130"/>
      <c r="D117" s="116" t="s">
        <v>514</v>
      </c>
      <c r="E117" s="130" t="s">
        <v>515</v>
      </c>
      <c r="F117" s="130" t="s">
        <v>277</v>
      </c>
      <c r="G117" s="130"/>
      <c r="H117" s="129" t="s">
        <v>278</v>
      </c>
      <c r="I117" s="129" t="s">
        <v>279</v>
      </c>
      <c r="J117" s="129"/>
      <c r="K117" s="129" t="s">
        <v>280</v>
      </c>
      <c r="L117" s="129" t="s">
        <v>505</v>
      </c>
      <c r="M117" s="129"/>
      <c r="N117" s="129"/>
      <c r="O117" s="129"/>
      <c r="P117" s="129"/>
      <c r="Q117" s="129"/>
      <c r="R117" s="129"/>
      <c r="S117" s="129"/>
      <c r="T117" s="129"/>
      <c r="U117" s="117" t="s">
        <v>282</v>
      </c>
    </row>
    <row r="118" spans="1:21" ht="10" customHeight="1" x14ac:dyDescent="0.35">
      <c r="A118" s="130" t="s">
        <v>87</v>
      </c>
      <c r="B118" s="117">
        <v>2</v>
      </c>
      <c r="C118" s="130"/>
      <c r="D118" s="116" t="s">
        <v>516</v>
      </c>
      <c r="E118" s="130" t="s">
        <v>517</v>
      </c>
      <c r="F118" s="130" t="s">
        <v>277</v>
      </c>
      <c r="G118" s="130"/>
      <c r="H118" s="129" t="s">
        <v>278</v>
      </c>
      <c r="I118" s="129" t="s">
        <v>279</v>
      </c>
      <c r="J118" s="129"/>
      <c r="K118" s="129" t="s">
        <v>280</v>
      </c>
      <c r="L118" s="129" t="s">
        <v>439</v>
      </c>
      <c r="M118" s="129"/>
      <c r="N118" s="129"/>
      <c r="O118" s="129"/>
      <c r="P118" s="129"/>
      <c r="Q118" s="129"/>
      <c r="R118" s="129"/>
      <c r="S118" s="129"/>
      <c r="T118" s="129"/>
      <c r="U118" s="117" t="s">
        <v>282</v>
      </c>
    </row>
    <row r="119" spans="1:21" ht="10" customHeight="1" x14ac:dyDescent="0.35">
      <c r="A119" s="130" t="s">
        <v>87</v>
      </c>
      <c r="B119" s="117">
        <v>4</v>
      </c>
      <c r="C119" s="130"/>
      <c r="D119" s="116" t="s">
        <v>518</v>
      </c>
      <c r="E119" s="130" t="s">
        <v>519</v>
      </c>
      <c r="F119" s="130" t="s">
        <v>277</v>
      </c>
      <c r="G119" s="130"/>
      <c r="H119" s="129" t="s">
        <v>278</v>
      </c>
      <c r="I119" s="129" t="s">
        <v>279</v>
      </c>
      <c r="J119" s="129"/>
      <c r="K119" s="129" t="s">
        <v>280</v>
      </c>
      <c r="L119" s="129" t="s">
        <v>439</v>
      </c>
      <c r="M119" s="129"/>
      <c r="N119" s="129"/>
      <c r="O119" s="129"/>
      <c r="P119" s="129"/>
      <c r="Q119" s="129"/>
      <c r="R119" s="129"/>
      <c r="S119" s="129"/>
      <c r="T119" s="129"/>
      <c r="U119" s="117" t="s">
        <v>282</v>
      </c>
    </row>
    <row r="120" spans="1:21" ht="10" customHeight="1" x14ac:dyDescent="0.35">
      <c r="A120" s="130" t="s">
        <v>87</v>
      </c>
      <c r="B120" s="117">
        <v>4</v>
      </c>
      <c r="C120" s="130"/>
      <c r="D120" s="116" t="s">
        <v>520</v>
      </c>
      <c r="E120" s="130" t="s">
        <v>521</v>
      </c>
      <c r="F120" s="130" t="s">
        <v>277</v>
      </c>
      <c r="G120" s="130"/>
      <c r="H120" s="129" t="s">
        <v>278</v>
      </c>
      <c r="I120" s="129" t="s">
        <v>279</v>
      </c>
      <c r="J120" s="129"/>
      <c r="K120" s="129" t="s">
        <v>280</v>
      </c>
      <c r="L120" s="129" t="s">
        <v>505</v>
      </c>
      <c r="M120" s="129"/>
      <c r="N120" s="129"/>
      <c r="O120" s="129"/>
      <c r="P120" s="129"/>
      <c r="Q120" s="129"/>
      <c r="R120" s="129"/>
      <c r="S120" s="129"/>
      <c r="T120" s="129"/>
      <c r="U120" s="117" t="s">
        <v>282</v>
      </c>
    </row>
    <row r="121" spans="1:21" ht="10" customHeight="1" x14ac:dyDescent="0.35">
      <c r="A121" s="130" t="s">
        <v>87</v>
      </c>
      <c r="B121" s="117">
        <v>2</v>
      </c>
      <c r="C121" s="130"/>
      <c r="D121" s="116" t="s">
        <v>522</v>
      </c>
      <c r="E121" s="130" t="s">
        <v>523</v>
      </c>
      <c r="F121" s="130" t="s">
        <v>277</v>
      </c>
      <c r="G121" s="130"/>
      <c r="H121" s="129" t="s">
        <v>278</v>
      </c>
      <c r="I121" s="129" t="s">
        <v>279</v>
      </c>
      <c r="J121" s="129"/>
      <c r="K121" s="129" t="s">
        <v>280</v>
      </c>
      <c r="L121" s="129" t="s">
        <v>484</v>
      </c>
      <c r="M121" s="129"/>
      <c r="N121" s="129"/>
      <c r="O121" s="129"/>
      <c r="P121" s="129"/>
      <c r="Q121" s="129"/>
      <c r="R121" s="129"/>
      <c r="S121" s="129"/>
      <c r="T121" s="129"/>
      <c r="U121" s="117" t="s">
        <v>282</v>
      </c>
    </row>
    <row r="122" spans="1:21" ht="10" customHeight="1" x14ac:dyDescent="0.35">
      <c r="A122" s="130" t="s">
        <v>87</v>
      </c>
      <c r="B122" s="117">
        <v>3</v>
      </c>
      <c r="C122" s="130"/>
      <c r="D122" s="116" t="s">
        <v>375</v>
      </c>
      <c r="E122" s="130" t="s">
        <v>524</v>
      </c>
      <c r="F122" s="130" t="s">
        <v>277</v>
      </c>
      <c r="G122" s="130"/>
      <c r="H122" s="129" t="s">
        <v>278</v>
      </c>
      <c r="I122" s="129" t="s">
        <v>279</v>
      </c>
      <c r="J122" s="129"/>
      <c r="K122" s="129" t="s">
        <v>280</v>
      </c>
      <c r="L122" s="129" t="s">
        <v>505</v>
      </c>
      <c r="M122" s="129"/>
      <c r="N122" s="129"/>
      <c r="O122" s="129"/>
      <c r="P122" s="129"/>
      <c r="Q122" s="129"/>
      <c r="R122" s="129"/>
      <c r="S122" s="129"/>
      <c r="T122" s="129"/>
      <c r="U122" s="117" t="s">
        <v>282</v>
      </c>
    </row>
    <row r="123" spans="1:21" ht="10" customHeight="1" x14ac:dyDescent="0.35">
      <c r="A123" s="130" t="s">
        <v>87</v>
      </c>
      <c r="B123" s="117">
        <v>4</v>
      </c>
      <c r="C123" s="130"/>
      <c r="D123" s="116" t="s">
        <v>525</v>
      </c>
      <c r="E123" s="130" t="s">
        <v>526</v>
      </c>
      <c r="F123" s="130" t="s">
        <v>277</v>
      </c>
      <c r="G123" s="130"/>
      <c r="H123" s="129" t="s">
        <v>278</v>
      </c>
      <c r="I123" s="129" t="s">
        <v>279</v>
      </c>
      <c r="J123" s="129"/>
      <c r="K123" s="129" t="s">
        <v>280</v>
      </c>
      <c r="L123" s="129" t="s">
        <v>505</v>
      </c>
      <c r="M123" s="129"/>
      <c r="N123" s="129"/>
      <c r="O123" s="129"/>
      <c r="P123" s="129"/>
      <c r="Q123" s="129"/>
      <c r="R123" s="129"/>
      <c r="S123" s="129"/>
      <c r="T123" s="129"/>
      <c r="U123" s="117" t="s">
        <v>282</v>
      </c>
    </row>
    <row r="124" spans="1:21" ht="10" customHeight="1" x14ac:dyDescent="0.35">
      <c r="A124" s="130" t="s">
        <v>87</v>
      </c>
      <c r="B124" s="117">
        <v>2</v>
      </c>
      <c r="C124" s="130"/>
      <c r="D124" s="116" t="s">
        <v>527</v>
      </c>
      <c r="E124" s="130" t="s">
        <v>528</v>
      </c>
      <c r="F124" s="130" t="s">
        <v>277</v>
      </c>
      <c r="G124" s="130"/>
      <c r="H124" s="129" t="s">
        <v>295</v>
      </c>
      <c r="I124" s="129" t="s">
        <v>279</v>
      </c>
      <c r="J124" s="129"/>
      <c r="K124" s="129" t="s">
        <v>280</v>
      </c>
      <c r="L124" s="129" t="s">
        <v>529</v>
      </c>
      <c r="M124" s="129"/>
      <c r="N124" s="129"/>
      <c r="O124" s="129"/>
      <c r="P124" s="129"/>
      <c r="Q124" s="129"/>
      <c r="R124" s="129"/>
      <c r="S124" s="129"/>
      <c r="T124" s="129"/>
      <c r="U124" s="117" t="s">
        <v>282</v>
      </c>
    </row>
    <row r="125" spans="1:21" ht="10" customHeight="1" x14ac:dyDescent="0.35">
      <c r="A125" s="130" t="s">
        <v>87</v>
      </c>
      <c r="B125" s="117">
        <v>2</v>
      </c>
      <c r="C125" s="130"/>
      <c r="D125" s="116" t="s">
        <v>530</v>
      </c>
      <c r="E125" s="130" t="s">
        <v>531</v>
      </c>
      <c r="F125" s="130" t="s">
        <v>277</v>
      </c>
      <c r="G125" s="130"/>
      <c r="H125" s="129" t="s">
        <v>295</v>
      </c>
      <c r="I125" s="129" t="s">
        <v>279</v>
      </c>
      <c r="J125" s="129"/>
      <c r="K125" s="129" t="s">
        <v>280</v>
      </c>
      <c r="L125" s="129" t="s">
        <v>494</v>
      </c>
      <c r="M125" s="129"/>
      <c r="N125" s="129"/>
      <c r="O125" s="129"/>
      <c r="P125" s="129"/>
      <c r="Q125" s="129"/>
      <c r="R125" s="129"/>
      <c r="S125" s="129"/>
      <c r="T125" s="129"/>
      <c r="U125" s="117" t="s">
        <v>282</v>
      </c>
    </row>
    <row r="126" spans="1:21" ht="10" customHeight="1" x14ac:dyDescent="0.35">
      <c r="A126" s="130" t="s">
        <v>87</v>
      </c>
      <c r="B126" s="117">
        <v>3</v>
      </c>
      <c r="C126" s="130"/>
      <c r="D126" s="116" t="s">
        <v>475</v>
      </c>
      <c r="E126" s="130" t="s">
        <v>532</v>
      </c>
      <c r="F126" s="130" t="s">
        <v>277</v>
      </c>
      <c r="G126" s="130"/>
      <c r="H126" s="129" t="s">
        <v>295</v>
      </c>
      <c r="I126" s="129" t="s">
        <v>279</v>
      </c>
      <c r="J126" s="129"/>
      <c r="K126" s="129" t="s">
        <v>280</v>
      </c>
      <c r="L126" s="129" t="s">
        <v>439</v>
      </c>
      <c r="M126" s="129"/>
      <c r="N126" s="129"/>
      <c r="O126" s="129"/>
      <c r="P126" s="129"/>
      <c r="Q126" s="129"/>
      <c r="R126" s="129"/>
      <c r="S126" s="129"/>
      <c r="T126" s="129"/>
      <c r="U126" s="117" t="s">
        <v>282</v>
      </c>
    </row>
    <row r="127" spans="1:21" ht="10" customHeight="1" x14ac:dyDescent="0.35">
      <c r="A127" s="130" t="s">
        <v>87</v>
      </c>
      <c r="B127" s="117">
        <v>4</v>
      </c>
      <c r="C127" s="130"/>
      <c r="D127" s="116" t="s">
        <v>533</v>
      </c>
      <c r="E127" s="130" t="s">
        <v>534</v>
      </c>
      <c r="F127" s="130" t="s">
        <v>277</v>
      </c>
      <c r="G127" s="130"/>
      <c r="H127" s="129" t="s">
        <v>295</v>
      </c>
      <c r="I127" s="129" t="s">
        <v>279</v>
      </c>
      <c r="J127" s="129"/>
      <c r="K127" s="129" t="s">
        <v>280</v>
      </c>
      <c r="L127" s="129" t="s">
        <v>529</v>
      </c>
      <c r="M127" s="129"/>
      <c r="N127" s="129"/>
      <c r="O127" s="129"/>
      <c r="P127" s="129"/>
      <c r="Q127" s="129"/>
      <c r="R127" s="129"/>
      <c r="S127" s="129"/>
      <c r="T127" s="129"/>
      <c r="U127" s="117" t="s">
        <v>282</v>
      </c>
    </row>
    <row r="128" spans="1:21" ht="10" customHeight="1" x14ac:dyDescent="0.35">
      <c r="A128" s="130" t="s">
        <v>87</v>
      </c>
      <c r="B128" s="117">
        <v>5</v>
      </c>
      <c r="C128" s="130"/>
      <c r="D128" s="116" t="s">
        <v>492</v>
      </c>
      <c r="E128" s="130" t="s">
        <v>535</v>
      </c>
      <c r="F128" s="130" t="s">
        <v>277</v>
      </c>
      <c r="G128" s="131"/>
      <c r="H128" s="129" t="s">
        <v>295</v>
      </c>
      <c r="I128" s="129" t="s">
        <v>279</v>
      </c>
      <c r="J128" s="129"/>
      <c r="K128" s="129" t="s">
        <v>280</v>
      </c>
      <c r="L128" s="129" t="s">
        <v>529</v>
      </c>
      <c r="M128" s="129"/>
      <c r="N128" s="129"/>
      <c r="O128" s="129"/>
      <c r="P128" s="129"/>
      <c r="Q128" s="129"/>
      <c r="R128" s="129"/>
      <c r="S128" s="129"/>
      <c r="T128" s="129"/>
      <c r="U128" s="117" t="s">
        <v>282</v>
      </c>
    </row>
    <row r="129" spans="1:21" ht="10" customHeight="1" x14ac:dyDescent="0.35">
      <c r="A129" s="132" t="s">
        <v>87</v>
      </c>
      <c r="B129" s="117">
        <v>6</v>
      </c>
      <c r="C129" s="132"/>
      <c r="D129" s="116" t="s">
        <v>536</v>
      </c>
      <c r="E129" s="132" t="s">
        <v>537</v>
      </c>
      <c r="F129" s="132" t="s">
        <v>277</v>
      </c>
      <c r="G129" s="132"/>
      <c r="H129" s="133" t="s">
        <v>295</v>
      </c>
      <c r="I129" s="133" t="s">
        <v>279</v>
      </c>
      <c r="J129" s="133"/>
      <c r="K129" s="133" t="s">
        <v>280</v>
      </c>
      <c r="L129" s="133" t="s">
        <v>484</v>
      </c>
      <c r="M129" s="133"/>
      <c r="N129" s="133"/>
      <c r="O129" s="133"/>
      <c r="P129" s="133"/>
      <c r="Q129" s="133"/>
      <c r="R129" s="133"/>
      <c r="S129" s="133"/>
      <c r="T129" s="133"/>
      <c r="U129" s="117" t="s">
        <v>282</v>
      </c>
    </row>
    <row r="130" spans="1:21" ht="10" customHeight="1" x14ac:dyDescent="0.35">
      <c r="A130" s="132" t="s">
        <v>87</v>
      </c>
      <c r="B130" s="117">
        <v>4</v>
      </c>
      <c r="C130" s="132"/>
      <c r="D130" s="116" t="s">
        <v>538</v>
      </c>
      <c r="E130" s="132" t="s">
        <v>539</v>
      </c>
      <c r="F130" s="132" t="s">
        <v>277</v>
      </c>
      <c r="G130" s="132"/>
      <c r="H130" s="133" t="s">
        <v>295</v>
      </c>
      <c r="I130" s="133" t="s">
        <v>279</v>
      </c>
      <c r="J130" s="133"/>
      <c r="K130" s="133" t="s">
        <v>280</v>
      </c>
      <c r="L130" s="133" t="s">
        <v>529</v>
      </c>
      <c r="M130" s="133"/>
      <c r="N130" s="133"/>
      <c r="O130" s="133"/>
      <c r="P130" s="133"/>
      <c r="Q130" s="133"/>
      <c r="R130" s="133"/>
      <c r="S130" s="133"/>
      <c r="T130" s="133"/>
      <c r="U130" s="117" t="s">
        <v>282</v>
      </c>
    </row>
    <row r="131" spans="1:21" ht="10" customHeight="1" x14ac:dyDescent="0.35">
      <c r="A131" s="134" t="s">
        <v>87</v>
      </c>
      <c r="B131" s="117">
        <v>4</v>
      </c>
      <c r="C131" s="134"/>
      <c r="D131" s="116" t="s">
        <v>540</v>
      </c>
      <c r="E131" s="134" t="s">
        <v>541</v>
      </c>
      <c r="F131" s="134" t="s">
        <v>277</v>
      </c>
      <c r="G131" s="134"/>
      <c r="H131" s="135" t="s">
        <v>278</v>
      </c>
      <c r="I131" s="135" t="s">
        <v>279</v>
      </c>
      <c r="J131" s="135"/>
      <c r="K131" s="135" t="s">
        <v>280</v>
      </c>
      <c r="L131" s="135" t="s">
        <v>529</v>
      </c>
      <c r="M131" s="135"/>
      <c r="N131" s="135"/>
      <c r="O131" s="135"/>
      <c r="P131" s="135"/>
      <c r="Q131" s="135"/>
      <c r="R131" s="135"/>
      <c r="S131" s="135"/>
      <c r="T131" s="135"/>
      <c r="U131" s="117" t="s">
        <v>282</v>
      </c>
    </row>
    <row r="132" spans="1:21" ht="10" customHeight="1" x14ac:dyDescent="0.35">
      <c r="A132" s="134" t="s">
        <v>87</v>
      </c>
      <c r="B132" s="117">
        <v>12</v>
      </c>
      <c r="C132" s="134"/>
      <c r="D132" s="116" t="s">
        <v>392</v>
      </c>
      <c r="E132" s="134" t="s">
        <v>542</v>
      </c>
      <c r="F132" s="134" t="s">
        <v>277</v>
      </c>
      <c r="G132" s="134"/>
      <c r="H132" s="137" t="s">
        <v>93</v>
      </c>
      <c r="I132" s="135" t="s">
        <v>93</v>
      </c>
      <c r="J132" s="135"/>
      <c r="K132" s="135" t="s">
        <v>280</v>
      </c>
      <c r="L132" s="135" t="s">
        <v>328</v>
      </c>
      <c r="M132" s="135"/>
      <c r="N132" s="135"/>
      <c r="O132" s="135"/>
      <c r="P132" s="135"/>
      <c r="Q132" s="135"/>
      <c r="R132" s="135"/>
      <c r="S132" s="135"/>
      <c r="T132" s="135"/>
      <c r="U132" s="117" t="s">
        <v>282</v>
      </c>
    </row>
    <row r="133" spans="1:21" ht="10" customHeight="1" x14ac:dyDescent="0.35">
      <c r="A133" s="134" t="s">
        <v>87</v>
      </c>
      <c r="B133" s="117">
        <v>2</v>
      </c>
      <c r="C133" s="134"/>
      <c r="D133" s="116" t="s">
        <v>543</v>
      </c>
      <c r="E133" s="134" t="s">
        <v>544</v>
      </c>
      <c r="F133" s="134" t="s">
        <v>277</v>
      </c>
      <c r="G133" s="134"/>
      <c r="H133" s="135" t="s">
        <v>278</v>
      </c>
      <c r="I133" s="135" t="s">
        <v>279</v>
      </c>
      <c r="J133" s="135"/>
      <c r="K133" s="135" t="s">
        <v>280</v>
      </c>
      <c r="L133" s="135" t="s">
        <v>439</v>
      </c>
      <c r="M133" s="135"/>
      <c r="N133" s="135"/>
      <c r="O133" s="135"/>
      <c r="P133" s="135"/>
      <c r="Q133" s="135"/>
      <c r="R133" s="135"/>
      <c r="S133" s="135"/>
      <c r="T133" s="135"/>
      <c r="U133" s="117" t="s">
        <v>282</v>
      </c>
    </row>
    <row r="134" spans="1:21" ht="10" customHeight="1" x14ac:dyDescent="0.35">
      <c r="A134" s="134" t="s">
        <v>87</v>
      </c>
      <c r="B134" s="117">
        <v>2</v>
      </c>
      <c r="C134" s="134"/>
      <c r="D134" s="116" t="s">
        <v>545</v>
      </c>
      <c r="E134" s="134" t="s">
        <v>546</v>
      </c>
      <c r="F134" s="134" t="s">
        <v>277</v>
      </c>
      <c r="G134" s="134"/>
      <c r="H134" s="135" t="s">
        <v>295</v>
      </c>
      <c r="I134" s="135" t="s">
        <v>279</v>
      </c>
      <c r="J134" s="135"/>
      <c r="K134" s="135" t="s">
        <v>280</v>
      </c>
      <c r="L134" s="135" t="s">
        <v>451</v>
      </c>
      <c r="M134" s="135"/>
      <c r="N134" s="135"/>
      <c r="O134" s="135"/>
      <c r="P134" s="135"/>
      <c r="Q134" s="135"/>
      <c r="R134" s="135"/>
      <c r="S134" s="135"/>
      <c r="T134" s="135"/>
      <c r="U134" s="117" t="s">
        <v>282</v>
      </c>
    </row>
    <row r="135" spans="1:21" ht="10" customHeight="1" x14ac:dyDescent="0.35">
      <c r="A135" s="134" t="s">
        <v>453</v>
      </c>
      <c r="B135" s="117">
        <v>4</v>
      </c>
      <c r="C135" s="134"/>
      <c r="D135" s="116" t="s">
        <v>297</v>
      </c>
      <c r="E135" s="134" t="s">
        <v>547</v>
      </c>
      <c r="F135" s="134" t="s">
        <v>277</v>
      </c>
      <c r="G135" s="136"/>
      <c r="H135" s="137" t="s">
        <v>93</v>
      </c>
      <c r="I135" s="135" t="s">
        <v>322</v>
      </c>
      <c r="J135" s="135"/>
      <c r="K135" s="135" t="s">
        <v>280</v>
      </c>
      <c r="L135" s="135" t="s">
        <v>484</v>
      </c>
      <c r="M135" s="135"/>
      <c r="N135" s="135"/>
      <c r="O135" s="135"/>
      <c r="P135" s="135"/>
      <c r="Q135" s="135"/>
      <c r="R135" s="135"/>
      <c r="S135" s="135"/>
      <c r="T135" s="135"/>
      <c r="U135" s="117" t="s">
        <v>282</v>
      </c>
    </row>
    <row r="136" spans="1:21" ht="10" customHeight="1" x14ac:dyDescent="0.35">
      <c r="A136" s="136" t="s">
        <v>87</v>
      </c>
      <c r="B136" s="117">
        <v>4</v>
      </c>
      <c r="C136" s="136"/>
      <c r="D136" s="116" t="s">
        <v>548</v>
      </c>
      <c r="E136" s="136" t="s">
        <v>549</v>
      </c>
      <c r="F136" s="136" t="s">
        <v>277</v>
      </c>
      <c r="G136" s="136"/>
      <c r="H136" s="137" t="s">
        <v>295</v>
      </c>
      <c r="I136" s="137" t="s">
        <v>279</v>
      </c>
      <c r="J136" s="137"/>
      <c r="K136" s="137" t="s">
        <v>280</v>
      </c>
      <c r="L136" s="137" t="s">
        <v>439</v>
      </c>
      <c r="M136" s="137"/>
      <c r="N136" s="137"/>
      <c r="O136" s="137"/>
      <c r="P136" s="137"/>
      <c r="Q136" s="137"/>
      <c r="R136" s="137"/>
      <c r="S136" s="137"/>
      <c r="T136" s="137"/>
      <c r="U136" s="117" t="s">
        <v>282</v>
      </c>
    </row>
    <row r="137" spans="1:21" ht="10" customHeight="1" x14ac:dyDescent="0.35">
      <c r="A137" s="136" t="s">
        <v>87</v>
      </c>
      <c r="B137" s="117">
        <v>4</v>
      </c>
      <c r="C137" s="136"/>
      <c r="D137" s="116" t="s">
        <v>284</v>
      </c>
      <c r="E137" s="136" t="s">
        <v>550</v>
      </c>
      <c r="F137" s="136" t="s">
        <v>277</v>
      </c>
      <c r="G137" s="136"/>
      <c r="H137" s="137" t="s">
        <v>93</v>
      </c>
      <c r="I137" s="137" t="s">
        <v>551</v>
      </c>
      <c r="J137" s="137"/>
      <c r="K137" s="137" t="s">
        <v>280</v>
      </c>
      <c r="L137" s="137" t="s">
        <v>484</v>
      </c>
      <c r="M137" s="137"/>
      <c r="N137" s="137"/>
      <c r="O137" s="137"/>
      <c r="P137" s="137"/>
      <c r="Q137" s="137"/>
      <c r="R137" s="137"/>
      <c r="S137" s="137"/>
      <c r="T137" s="137"/>
      <c r="U137" s="117" t="s">
        <v>282</v>
      </c>
    </row>
    <row r="138" spans="1:21" ht="10" customHeight="1" x14ac:dyDescent="0.35">
      <c r="A138" s="138" t="s">
        <v>87</v>
      </c>
      <c r="B138" s="117">
        <v>2</v>
      </c>
      <c r="C138" s="138"/>
      <c r="D138" s="116" t="s">
        <v>471</v>
      </c>
      <c r="E138" s="138" t="s">
        <v>552</v>
      </c>
      <c r="F138" s="138" t="s">
        <v>277</v>
      </c>
      <c r="G138" s="138"/>
      <c r="H138" s="139" t="s">
        <v>278</v>
      </c>
      <c r="I138" s="139" t="s">
        <v>279</v>
      </c>
      <c r="J138" s="139"/>
      <c r="K138" s="139" t="s">
        <v>280</v>
      </c>
      <c r="L138" s="139" t="s">
        <v>451</v>
      </c>
      <c r="M138" s="139"/>
      <c r="N138" s="139"/>
      <c r="O138" s="139"/>
      <c r="P138" s="139"/>
      <c r="Q138" s="139"/>
      <c r="R138" s="139"/>
      <c r="S138" s="139"/>
      <c r="T138" s="139"/>
      <c r="U138" s="117" t="s">
        <v>282</v>
      </c>
    </row>
    <row r="139" spans="1:21" ht="10" customHeight="1" x14ac:dyDescent="0.35">
      <c r="A139" s="138" t="s">
        <v>553</v>
      </c>
      <c r="B139" s="117">
        <v>100</v>
      </c>
      <c r="C139" s="138"/>
      <c r="D139" s="116" t="s">
        <v>352</v>
      </c>
      <c r="E139" s="138" t="s">
        <v>554</v>
      </c>
      <c r="F139" s="138" t="s">
        <v>277</v>
      </c>
      <c r="G139" s="138"/>
      <c r="H139" s="139" t="s">
        <v>93</v>
      </c>
      <c r="I139" s="139" t="s">
        <v>555</v>
      </c>
      <c r="J139" s="139"/>
      <c r="K139" s="139" t="s">
        <v>280</v>
      </c>
      <c r="L139" s="139" t="s">
        <v>451</v>
      </c>
      <c r="M139" s="139"/>
      <c r="N139" s="139"/>
      <c r="O139" s="139"/>
      <c r="P139" s="139"/>
      <c r="Q139" s="139"/>
      <c r="R139" s="139"/>
      <c r="S139" s="139"/>
      <c r="T139" s="139"/>
      <c r="U139" s="117" t="s">
        <v>282</v>
      </c>
    </row>
    <row r="140" spans="1:21" ht="10" customHeight="1" x14ac:dyDescent="0.35">
      <c r="A140" s="138" t="s">
        <v>87</v>
      </c>
      <c r="B140" s="117">
        <v>2</v>
      </c>
      <c r="C140" s="138"/>
      <c r="D140" s="116" t="s">
        <v>545</v>
      </c>
      <c r="E140" s="138" t="s">
        <v>556</v>
      </c>
      <c r="F140" s="138" t="s">
        <v>277</v>
      </c>
      <c r="G140" s="138"/>
      <c r="H140" s="139" t="s">
        <v>278</v>
      </c>
      <c r="I140" s="139" t="s">
        <v>557</v>
      </c>
      <c r="J140" s="139"/>
      <c r="K140" s="139" t="s">
        <v>280</v>
      </c>
      <c r="L140" s="139" t="s">
        <v>451</v>
      </c>
      <c r="M140" s="139"/>
      <c r="N140" s="139"/>
      <c r="O140" s="139"/>
      <c r="P140" s="139"/>
      <c r="Q140" s="139"/>
      <c r="R140" s="139"/>
      <c r="S140" s="139"/>
      <c r="T140" s="139"/>
      <c r="U140" s="117" t="s">
        <v>282</v>
      </c>
    </row>
    <row r="141" spans="1:21" ht="10" customHeight="1" x14ac:dyDescent="0.35">
      <c r="A141" s="163" t="s">
        <v>87</v>
      </c>
      <c r="B141" s="117">
        <v>5</v>
      </c>
      <c r="C141" s="138"/>
      <c r="D141" s="116" t="s">
        <v>558</v>
      </c>
      <c r="E141" s="138" t="s">
        <v>559</v>
      </c>
      <c r="F141" s="138" t="s">
        <v>277</v>
      </c>
      <c r="G141" s="138"/>
      <c r="H141" s="139" t="s">
        <v>93</v>
      </c>
      <c r="I141" s="139" t="s">
        <v>560</v>
      </c>
      <c r="J141" s="139"/>
      <c r="K141" s="139" t="s">
        <v>280</v>
      </c>
      <c r="L141" s="139" t="s">
        <v>451</v>
      </c>
      <c r="M141" s="139"/>
      <c r="N141" s="139"/>
      <c r="O141" s="139"/>
      <c r="P141" s="139"/>
      <c r="Q141" s="139"/>
      <c r="R141" s="139"/>
      <c r="S141" s="139"/>
      <c r="T141" s="139"/>
      <c r="U141" s="117" t="s">
        <v>282</v>
      </c>
    </row>
    <row r="142" spans="1:21" ht="10" customHeight="1" x14ac:dyDescent="0.35">
      <c r="A142" s="138" t="s">
        <v>87</v>
      </c>
      <c r="B142" s="117">
        <v>5</v>
      </c>
      <c r="C142" s="138"/>
      <c r="D142" s="116" t="s">
        <v>561</v>
      </c>
      <c r="E142" s="138" t="s">
        <v>562</v>
      </c>
      <c r="F142" s="138" t="s">
        <v>277</v>
      </c>
      <c r="G142" s="138"/>
      <c r="H142" s="139" t="s">
        <v>93</v>
      </c>
      <c r="I142" s="139" t="s">
        <v>563</v>
      </c>
      <c r="J142" s="139"/>
      <c r="K142" s="139" t="s">
        <v>280</v>
      </c>
      <c r="L142" s="139" t="s">
        <v>451</v>
      </c>
      <c r="M142" s="139"/>
      <c r="N142" s="139"/>
      <c r="O142" s="139"/>
      <c r="P142" s="139"/>
      <c r="Q142" s="139"/>
      <c r="R142" s="139"/>
      <c r="S142" s="139"/>
      <c r="T142" s="139"/>
      <c r="U142" s="117" t="s">
        <v>282</v>
      </c>
    </row>
    <row r="143" spans="1:21" ht="10" customHeight="1" x14ac:dyDescent="0.35">
      <c r="A143" s="138" t="s">
        <v>87</v>
      </c>
      <c r="B143" s="117">
        <v>5</v>
      </c>
      <c r="C143" s="138"/>
      <c r="D143" s="116" t="s">
        <v>564</v>
      </c>
      <c r="E143" s="138" t="s">
        <v>565</v>
      </c>
      <c r="F143" s="138" t="s">
        <v>277</v>
      </c>
      <c r="G143" s="138"/>
      <c r="H143" s="139" t="s">
        <v>93</v>
      </c>
      <c r="I143" s="139" t="s">
        <v>563</v>
      </c>
      <c r="J143" s="139"/>
      <c r="K143" s="139" t="s">
        <v>280</v>
      </c>
      <c r="L143" s="139" t="s">
        <v>451</v>
      </c>
      <c r="M143" s="139"/>
      <c r="N143" s="139"/>
      <c r="O143" s="139"/>
      <c r="P143" s="139"/>
      <c r="Q143" s="139"/>
      <c r="R143" s="139"/>
      <c r="S143" s="139"/>
      <c r="T143" s="139"/>
      <c r="U143" s="117" t="s">
        <v>282</v>
      </c>
    </row>
    <row r="144" spans="1:21" ht="10" customHeight="1" x14ac:dyDescent="0.35">
      <c r="A144" s="138" t="s">
        <v>87</v>
      </c>
      <c r="B144" s="117">
        <v>5</v>
      </c>
      <c r="C144" s="138"/>
      <c r="D144" s="116" t="s">
        <v>566</v>
      </c>
      <c r="E144" s="138" t="s">
        <v>567</v>
      </c>
      <c r="F144" s="138" t="s">
        <v>277</v>
      </c>
      <c r="G144" s="138"/>
      <c r="H144" s="139" t="s">
        <v>295</v>
      </c>
      <c r="I144" s="139" t="s">
        <v>279</v>
      </c>
      <c r="J144" s="139"/>
      <c r="K144" s="139" t="s">
        <v>280</v>
      </c>
      <c r="L144" s="139" t="s">
        <v>451</v>
      </c>
      <c r="M144" s="139"/>
      <c r="N144" s="139"/>
      <c r="O144" s="139"/>
      <c r="P144" s="139"/>
      <c r="Q144" s="139"/>
      <c r="R144" s="139"/>
      <c r="S144" s="139"/>
      <c r="T144" s="139"/>
      <c r="U144" s="117" t="s">
        <v>282</v>
      </c>
    </row>
    <row r="145" spans="1:21" ht="10" customHeight="1" x14ac:dyDescent="0.35">
      <c r="A145" s="138" t="s">
        <v>87</v>
      </c>
      <c r="B145" s="117">
        <v>4</v>
      </c>
      <c r="C145" s="138"/>
      <c r="D145" s="116" t="s">
        <v>284</v>
      </c>
      <c r="E145" s="138" t="s">
        <v>568</v>
      </c>
      <c r="F145" s="138" t="s">
        <v>277</v>
      </c>
      <c r="G145" s="138"/>
      <c r="H145" s="139" t="s">
        <v>93</v>
      </c>
      <c r="I145" s="139" t="s">
        <v>296</v>
      </c>
      <c r="J145" s="139"/>
      <c r="K145" s="139" t="s">
        <v>280</v>
      </c>
      <c r="L145" s="139" t="s">
        <v>484</v>
      </c>
      <c r="M145" s="139"/>
      <c r="N145" s="139"/>
      <c r="O145" s="139"/>
      <c r="P145" s="139"/>
      <c r="Q145" s="139"/>
      <c r="R145" s="139"/>
      <c r="S145" s="139"/>
      <c r="T145" s="139"/>
      <c r="U145" s="117" t="s">
        <v>282</v>
      </c>
    </row>
    <row r="146" spans="1:21" ht="10" customHeight="1" x14ac:dyDescent="0.35">
      <c r="A146" s="138" t="s">
        <v>359</v>
      </c>
      <c r="B146" s="117">
        <v>5</v>
      </c>
      <c r="C146" s="138"/>
      <c r="D146" s="116" t="s">
        <v>248</v>
      </c>
      <c r="E146" s="138" t="s">
        <v>569</v>
      </c>
      <c r="F146" s="138" t="s">
        <v>277</v>
      </c>
      <c r="G146" s="138"/>
      <c r="H146" s="139" t="s">
        <v>93</v>
      </c>
      <c r="I146" s="139" t="s">
        <v>279</v>
      </c>
      <c r="J146" s="139"/>
      <c r="K146" s="139" t="s">
        <v>280</v>
      </c>
      <c r="L146" s="139" t="s">
        <v>436</v>
      </c>
      <c r="M146" s="139"/>
      <c r="N146" s="139"/>
      <c r="O146" s="139"/>
      <c r="P146" s="139"/>
      <c r="Q146" s="139"/>
      <c r="R146" s="139"/>
      <c r="S146" s="139"/>
      <c r="T146" s="139"/>
      <c r="U146" s="117" t="s">
        <v>288</v>
      </c>
    </row>
    <row r="147" spans="1:21" ht="10" customHeight="1" x14ac:dyDescent="0.35">
      <c r="A147" s="138" t="s">
        <v>87</v>
      </c>
      <c r="B147" s="117">
        <v>3</v>
      </c>
      <c r="C147" s="138"/>
      <c r="D147" s="116" t="s">
        <v>317</v>
      </c>
      <c r="E147" s="138" t="s">
        <v>570</v>
      </c>
      <c r="F147" s="138" t="s">
        <v>277</v>
      </c>
      <c r="G147" s="138"/>
      <c r="H147" s="137" t="s">
        <v>93</v>
      </c>
      <c r="I147" s="139" t="s">
        <v>93</v>
      </c>
      <c r="J147" s="139"/>
      <c r="K147" s="139" t="s">
        <v>280</v>
      </c>
      <c r="L147" s="139" t="s">
        <v>328</v>
      </c>
      <c r="M147" s="139"/>
      <c r="N147" s="139"/>
      <c r="O147" s="139"/>
      <c r="P147" s="139"/>
      <c r="Q147" s="139"/>
      <c r="R147" s="139"/>
      <c r="S147" s="139"/>
      <c r="T147" s="139"/>
      <c r="U147" s="117" t="s">
        <v>282</v>
      </c>
    </row>
    <row r="148" spans="1:21" ht="10" customHeight="1" x14ac:dyDescent="0.35">
      <c r="A148" s="138" t="s">
        <v>87</v>
      </c>
      <c r="B148" s="117">
        <v>10</v>
      </c>
      <c r="C148" s="138"/>
      <c r="D148" s="116" t="s">
        <v>392</v>
      </c>
      <c r="E148" s="138" t="s">
        <v>571</v>
      </c>
      <c r="F148" s="138" t="s">
        <v>277</v>
      </c>
      <c r="G148" s="138"/>
      <c r="H148" s="137" t="s">
        <v>93</v>
      </c>
      <c r="I148" s="139" t="s">
        <v>93</v>
      </c>
      <c r="J148" s="139"/>
      <c r="K148" s="139" t="s">
        <v>280</v>
      </c>
      <c r="L148" s="139" t="s">
        <v>328</v>
      </c>
      <c r="M148" s="139"/>
      <c r="N148" s="139"/>
      <c r="O148" s="139"/>
      <c r="P148" s="139"/>
      <c r="Q148" s="139"/>
      <c r="R148" s="139"/>
      <c r="S148" s="139"/>
      <c r="T148" s="139"/>
      <c r="U148" s="117" t="s">
        <v>282</v>
      </c>
    </row>
    <row r="149" spans="1:21" ht="10" customHeight="1" x14ac:dyDescent="0.35">
      <c r="A149" s="138" t="s">
        <v>453</v>
      </c>
      <c r="B149" s="117">
        <v>4</v>
      </c>
      <c r="C149" s="138"/>
      <c r="D149" s="116" t="s">
        <v>303</v>
      </c>
      <c r="E149" s="138" t="s">
        <v>572</v>
      </c>
      <c r="F149" s="138" t="s">
        <v>277</v>
      </c>
      <c r="G149" s="138"/>
      <c r="H149" s="139" t="s">
        <v>278</v>
      </c>
      <c r="I149" s="139" t="s">
        <v>573</v>
      </c>
      <c r="J149" s="139"/>
      <c r="K149" s="139" t="s">
        <v>280</v>
      </c>
      <c r="L149" s="139" t="s">
        <v>574</v>
      </c>
      <c r="M149" s="139"/>
      <c r="N149" s="139"/>
      <c r="O149" s="139"/>
      <c r="P149" s="139"/>
      <c r="Q149" s="139"/>
      <c r="R149" s="139"/>
      <c r="S149" s="139"/>
      <c r="T149" s="139"/>
      <c r="U149" s="117" t="s">
        <v>282</v>
      </c>
    </row>
    <row r="150" spans="1:21" ht="10" customHeight="1" x14ac:dyDescent="0.35">
      <c r="A150" s="138" t="s">
        <v>87</v>
      </c>
      <c r="B150" s="117">
        <v>4</v>
      </c>
      <c r="C150" s="138"/>
      <c r="D150" s="116" t="s">
        <v>284</v>
      </c>
      <c r="E150" s="138" t="s">
        <v>575</v>
      </c>
      <c r="F150" s="138" t="s">
        <v>277</v>
      </c>
      <c r="G150" s="138"/>
      <c r="H150" s="139" t="s">
        <v>278</v>
      </c>
      <c r="I150" s="139" t="s">
        <v>576</v>
      </c>
      <c r="J150" s="139"/>
      <c r="K150" s="139" t="s">
        <v>280</v>
      </c>
      <c r="L150" s="139" t="s">
        <v>484</v>
      </c>
      <c r="M150" s="139"/>
      <c r="N150" s="139"/>
      <c r="O150" s="139"/>
      <c r="P150" s="139"/>
      <c r="Q150" s="139"/>
      <c r="R150" s="139"/>
      <c r="S150" s="139"/>
      <c r="T150" s="139"/>
      <c r="U150" s="117" t="s">
        <v>282</v>
      </c>
    </row>
    <row r="151" spans="1:21" ht="10" customHeight="1" x14ac:dyDescent="0.35">
      <c r="A151" s="138" t="s">
        <v>87</v>
      </c>
      <c r="B151" s="117">
        <v>4</v>
      </c>
      <c r="C151" s="138"/>
      <c r="D151" s="116" t="s">
        <v>577</v>
      </c>
      <c r="E151" s="138" t="s">
        <v>578</v>
      </c>
      <c r="F151" s="138" t="s">
        <v>277</v>
      </c>
      <c r="G151" s="138"/>
      <c r="H151" s="139" t="s">
        <v>278</v>
      </c>
      <c r="I151" s="139" t="s">
        <v>279</v>
      </c>
      <c r="J151" s="139"/>
      <c r="K151" s="139" t="s">
        <v>280</v>
      </c>
      <c r="L151" s="139" t="s">
        <v>484</v>
      </c>
      <c r="M151" s="139"/>
      <c r="N151" s="139"/>
      <c r="O151" s="139"/>
      <c r="P151" s="139"/>
      <c r="Q151" s="139"/>
      <c r="R151" s="139"/>
      <c r="S151" s="139"/>
      <c r="T151" s="139"/>
      <c r="U151" s="117" t="s">
        <v>282</v>
      </c>
    </row>
    <row r="152" spans="1:21" ht="10" customHeight="1" x14ac:dyDescent="0.35">
      <c r="A152" s="138" t="s">
        <v>87</v>
      </c>
      <c r="B152" s="117">
        <v>4</v>
      </c>
      <c r="C152" s="138"/>
      <c r="D152" s="116" t="s">
        <v>579</v>
      </c>
      <c r="E152" s="138" t="s">
        <v>580</v>
      </c>
      <c r="F152" s="138" t="s">
        <v>277</v>
      </c>
      <c r="G152" s="138"/>
      <c r="H152" s="139" t="s">
        <v>278</v>
      </c>
      <c r="I152" s="139" t="s">
        <v>279</v>
      </c>
      <c r="J152" s="139"/>
      <c r="K152" s="139" t="s">
        <v>280</v>
      </c>
      <c r="L152" s="139" t="s">
        <v>439</v>
      </c>
      <c r="M152" s="139"/>
      <c r="N152" s="139"/>
      <c r="O152" s="139"/>
      <c r="P152" s="139"/>
      <c r="Q152" s="139"/>
      <c r="R152" s="139"/>
      <c r="S152" s="139"/>
      <c r="T152" s="139"/>
      <c r="U152" s="117" t="s">
        <v>282</v>
      </c>
    </row>
    <row r="153" spans="1:21" ht="10" customHeight="1" x14ac:dyDescent="0.35">
      <c r="A153" s="138" t="s">
        <v>87</v>
      </c>
      <c r="B153" s="117">
        <v>2</v>
      </c>
      <c r="C153" s="138"/>
      <c r="D153" s="116" t="s">
        <v>581</v>
      </c>
      <c r="E153" s="138" t="s">
        <v>582</v>
      </c>
      <c r="F153" s="138" t="s">
        <v>277</v>
      </c>
      <c r="G153" s="138"/>
      <c r="H153" s="139" t="s">
        <v>278</v>
      </c>
      <c r="I153" s="139" t="s">
        <v>279</v>
      </c>
      <c r="J153" s="139"/>
      <c r="K153" s="139" t="s">
        <v>280</v>
      </c>
      <c r="L153" s="139" t="s">
        <v>451</v>
      </c>
      <c r="M153" s="139"/>
      <c r="N153" s="139"/>
      <c r="O153" s="139"/>
      <c r="P153" s="139"/>
      <c r="Q153" s="139"/>
      <c r="R153" s="139"/>
      <c r="S153" s="139"/>
      <c r="T153" s="139"/>
      <c r="U153" s="117" t="s">
        <v>282</v>
      </c>
    </row>
    <row r="154" spans="1:21" ht="10" customHeight="1" x14ac:dyDescent="0.35">
      <c r="A154" s="138" t="s">
        <v>87</v>
      </c>
      <c r="B154" s="117">
        <v>2</v>
      </c>
      <c r="C154" s="138"/>
      <c r="D154" s="116" t="s">
        <v>583</v>
      </c>
      <c r="E154" s="138" t="s">
        <v>584</v>
      </c>
      <c r="F154" s="138" t="s">
        <v>277</v>
      </c>
      <c r="G154" s="138"/>
      <c r="H154" s="139" t="s">
        <v>278</v>
      </c>
      <c r="I154" s="139" t="s">
        <v>279</v>
      </c>
      <c r="J154" s="139"/>
      <c r="K154" s="139" t="s">
        <v>280</v>
      </c>
      <c r="L154" s="139" t="s">
        <v>451</v>
      </c>
      <c r="M154" s="139"/>
      <c r="N154" s="139"/>
      <c r="O154" s="139"/>
      <c r="P154" s="139"/>
      <c r="Q154" s="139"/>
      <c r="R154" s="139"/>
      <c r="S154" s="139"/>
      <c r="T154" s="139"/>
      <c r="U154" s="117" t="s">
        <v>282</v>
      </c>
    </row>
    <row r="155" spans="1:21" ht="10" customHeight="1" x14ac:dyDescent="0.35">
      <c r="A155" s="138" t="s">
        <v>87</v>
      </c>
      <c r="B155" s="117">
        <v>2</v>
      </c>
      <c r="C155" s="138"/>
      <c r="D155" s="116" t="s">
        <v>585</v>
      </c>
      <c r="E155" s="138" t="s">
        <v>586</v>
      </c>
      <c r="F155" s="138" t="s">
        <v>277</v>
      </c>
      <c r="G155" s="138"/>
      <c r="H155" s="139" t="s">
        <v>278</v>
      </c>
      <c r="I155" s="139" t="s">
        <v>279</v>
      </c>
      <c r="J155" s="139"/>
      <c r="K155" s="139" t="s">
        <v>280</v>
      </c>
      <c r="L155" s="139" t="s">
        <v>451</v>
      </c>
      <c r="M155" s="139"/>
      <c r="N155" s="139"/>
      <c r="O155" s="139"/>
      <c r="P155" s="139"/>
      <c r="Q155" s="139"/>
      <c r="R155" s="139"/>
      <c r="S155" s="139"/>
      <c r="T155" s="139"/>
      <c r="U155" s="117" t="s">
        <v>282</v>
      </c>
    </row>
    <row r="156" spans="1:21" ht="10" customHeight="1" x14ac:dyDescent="0.35">
      <c r="A156" s="163" t="s">
        <v>87</v>
      </c>
      <c r="B156" s="117">
        <v>1</v>
      </c>
      <c r="C156" s="138"/>
      <c r="D156" s="116" t="s">
        <v>587</v>
      </c>
      <c r="E156" s="138" t="s">
        <v>588</v>
      </c>
      <c r="F156" s="138" t="s">
        <v>277</v>
      </c>
      <c r="G156" s="138"/>
      <c r="H156" s="139" t="s">
        <v>93</v>
      </c>
      <c r="I156" s="139" t="s">
        <v>279</v>
      </c>
      <c r="J156" s="139"/>
      <c r="K156" s="139" t="s">
        <v>280</v>
      </c>
      <c r="L156" s="139" t="s">
        <v>451</v>
      </c>
      <c r="M156" s="139"/>
      <c r="N156" s="139"/>
      <c r="O156" s="139"/>
      <c r="P156" s="139"/>
      <c r="Q156" s="139"/>
      <c r="R156" s="139"/>
      <c r="S156" s="139"/>
      <c r="T156" s="139"/>
      <c r="U156" s="117" t="s">
        <v>282</v>
      </c>
    </row>
    <row r="157" spans="1:21" ht="10" customHeight="1" x14ac:dyDescent="0.35">
      <c r="A157" s="164" t="s">
        <v>87</v>
      </c>
      <c r="B157" s="117">
        <v>2</v>
      </c>
      <c r="C157" s="140"/>
      <c r="D157" s="116" t="s">
        <v>589</v>
      </c>
      <c r="E157" s="140" t="s">
        <v>590</v>
      </c>
      <c r="F157" s="140" t="s">
        <v>277</v>
      </c>
      <c r="G157" s="140"/>
      <c r="H157" s="141" t="s">
        <v>278</v>
      </c>
      <c r="I157" s="141" t="s">
        <v>279</v>
      </c>
      <c r="J157" s="141"/>
      <c r="K157" s="141" t="s">
        <v>280</v>
      </c>
      <c r="L157" s="141" t="s">
        <v>451</v>
      </c>
      <c r="M157" s="141"/>
      <c r="N157" s="141"/>
      <c r="O157" s="141"/>
      <c r="P157" s="141"/>
      <c r="Q157" s="141"/>
      <c r="R157" s="141"/>
      <c r="S157" s="141"/>
      <c r="T157" s="141"/>
      <c r="U157" s="117" t="s">
        <v>282</v>
      </c>
    </row>
    <row r="158" spans="1:21" ht="10" customHeight="1" x14ac:dyDescent="0.35">
      <c r="A158" s="164" t="s">
        <v>87</v>
      </c>
      <c r="B158" s="117">
        <v>2</v>
      </c>
      <c r="C158" s="140"/>
      <c r="D158" s="116" t="s">
        <v>591</v>
      </c>
      <c r="E158" s="140" t="s">
        <v>592</v>
      </c>
      <c r="F158" s="140" t="s">
        <v>277</v>
      </c>
      <c r="G158" s="140"/>
      <c r="H158" s="141" t="s">
        <v>278</v>
      </c>
      <c r="I158" s="141" t="s">
        <v>279</v>
      </c>
      <c r="J158" s="141"/>
      <c r="K158" s="141" t="s">
        <v>280</v>
      </c>
      <c r="L158" s="141" t="s">
        <v>451</v>
      </c>
      <c r="M158" s="141"/>
      <c r="N158" s="141"/>
      <c r="O158" s="141"/>
      <c r="P158" s="141"/>
      <c r="Q158" s="141"/>
      <c r="R158" s="141"/>
      <c r="S158" s="141"/>
      <c r="T158" s="141"/>
      <c r="U158" s="117" t="s">
        <v>282</v>
      </c>
    </row>
    <row r="159" spans="1:21" ht="10" customHeight="1" x14ac:dyDescent="0.35">
      <c r="A159" s="140" t="s">
        <v>87</v>
      </c>
      <c r="B159" s="117">
        <v>2</v>
      </c>
      <c r="C159" s="140"/>
      <c r="D159" s="116" t="s">
        <v>545</v>
      </c>
      <c r="E159" s="140" t="s">
        <v>593</v>
      </c>
      <c r="F159" s="140" t="s">
        <v>277</v>
      </c>
      <c r="G159" s="140"/>
      <c r="H159" s="141" t="s">
        <v>278</v>
      </c>
      <c r="I159" s="141" t="s">
        <v>557</v>
      </c>
      <c r="J159" s="141"/>
      <c r="K159" s="141" t="s">
        <v>280</v>
      </c>
      <c r="L159" s="141" t="s">
        <v>451</v>
      </c>
      <c r="M159" s="141"/>
      <c r="N159" s="141"/>
      <c r="O159" s="141"/>
      <c r="P159" s="141"/>
      <c r="Q159" s="141"/>
      <c r="R159" s="141"/>
      <c r="S159" s="141"/>
      <c r="T159" s="141"/>
      <c r="U159" s="117" t="s">
        <v>282</v>
      </c>
    </row>
    <row r="160" spans="1:21" ht="10" customHeight="1" x14ac:dyDescent="0.35">
      <c r="A160" s="140" t="s">
        <v>87</v>
      </c>
      <c r="B160" s="117">
        <v>2</v>
      </c>
      <c r="C160" s="140"/>
      <c r="D160" s="116" t="s">
        <v>594</v>
      </c>
      <c r="E160" s="140" t="s">
        <v>595</v>
      </c>
      <c r="F160" s="140" t="s">
        <v>277</v>
      </c>
      <c r="G160" s="140"/>
      <c r="H160" s="141" t="s">
        <v>278</v>
      </c>
      <c r="I160" s="141" t="s">
        <v>596</v>
      </c>
      <c r="J160" s="141"/>
      <c r="K160" s="141" t="s">
        <v>280</v>
      </c>
      <c r="L160" s="141" t="s">
        <v>451</v>
      </c>
      <c r="M160" s="141"/>
      <c r="N160" s="141"/>
      <c r="O160" s="141"/>
      <c r="P160" s="141"/>
      <c r="Q160" s="141"/>
      <c r="R160" s="141"/>
      <c r="S160" s="141"/>
      <c r="T160" s="141"/>
      <c r="U160" s="117" t="s">
        <v>282</v>
      </c>
    </row>
    <row r="161" spans="1:21" ht="10" customHeight="1" x14ac:dyDescent="0.35">
      <c r="A161" s="140" t="s">
        <v>87</v>
      </c>
      <c r="B161" s="117">
        <v>5</v>
      </c>
      <c r="C161" s="140"/>
      <c r="D161" s="116" t="s">
        <v>597</v>
      </c>
      <c r="E161" s="140" t="s">
        <v>598</v>
      </c>
      <c r="F161" s="140" t="s">
        <v>277</v>
      </c>
      <c r="G161" s="140"/>
      <c r="H161" s="141" t="s">
        <v>278</v>
      </c>
      <c r="I161" s="141" t="s">
        <v>279</v>
      </c>
      <c r="J161" s="141"/>
      <c r="K161" s="141" t="s">
        <v>280</v>
      </c>
      <c r="L161" s="141" t="s">
        <v>451</v>
      </c>
      <c r="M161" s="141"/>
      <c r="N161" s="141"/>
      <c r="O161" s="141"/>
      <c r="P161" s="141"/>
      <c r="Q161" s="141"/>
      <c r="R161" s="141"/>
      <c r="S161" s="141"/>
      <c r="T161" s="141"/>
      <c r="U161" s="117" t="s">
        <v>282</v>
      </c>
    </row>
    <row r="162" spans="1:21" ht="10" customHeight="1" x14ac:dyDescent="0.35">
      <c r="A162" s="140" t="s">
        <v>87</v>
      </c>
      <c r="B162" s="117">
        <v>5</v>
      </c>
      <c r="C162" s="140"/>
      <c r="D162" s="116" t="s">
        <v>599</v>
      </c>
      <c r="E162" s="140" t="s">
        <v>600</v>
      </c>
      <c r="F162" s="140" t="s">
        <v>277</v>
      </c>
      <c r="G162" s="140"/>
      <c r="H162" s="141" t="s">
        <v>278</v>
      </c>
      <c r="I162" s="141" t="s">
        <v>279</v>
      </c>
      <c r="J162" s="141"/>
      <c r="K162" s="141" t="s">
        <v>280</v>
      </c>
      <c r="L162" s="141" t="s">
        <v>451</v>
      </c>
      <c r="M162" s="141"/>
      <c r="N162" s="141"/>
      <c r="O162" s="141"/>
      <c r="P162" s="141"/>
      <c r="Q162" s="141"/>
      <c r="R162" s="141"/>
      <c r="S162" s="141"/>
      <c r="T162" s="141"/>
      <c r="U162" s="117" t="s">
        <v>282</v>
      </c>
    </row>
    <row r="163" spans="1:21" ht="10" customHeight="1" x14ac:dyDescent="0.35">
      <c r="A163" s="140" t="s">
        <v>87</v>
      </c>
      <c r="B163" s="117">
        <v>6</v>
      </c>
      <c r="C163" s="140"/>
      <c r="D163" s="116" t="s">
        <v>601</v>
      </c>
      <c r="E163" s="140" t="s">
        <v>602</v>
      </c>
      <c r="F163" s="140" t="s">
        <v>277</v>
      </c>
      <c r="G163" s="140"/>
      <c r="H163" s="141" t="s">
        <v>93</v>
      </c>
      <c r="I163" s="141" t="s">
        <v>279</v>
      </c>
      <c r="J163" s="141"/>
      <c r="K163" s="141" t="s">
        <v>280</v>
      </c>
      <c r="L163" s="141" t="s">
        <v>451</v>
      </c>
      <c r="M163" s="141"/>
      <c r="N163" s="141"/>
      <c r="O163" s="141"/>
      <c r="P163" s="141"/>
      <c r="Q163" s="141"/>
      <c r="R163" s="141"/>
      <c r="S163" s="141"/>
      <c r="T163" s="141"/>
      <c r="U163" s="117" t="s">
        <v>282</v>
      </c>
    </row>
    <row r="164" spans="1:21" ht="10" customHeight="1" x14ac:dyDescent="0.35">
      <c r="A164" s="140" t="s">
        <v>87</v>
      </c>
      <c r="B164" s="117">
        <v>6</v>
      </c>
      <c r="C164" s="140"/>
      <c r="D164" s="116" t="s">
        <v>603</v>
      </c>
      <c r="E164" s="140" t="s">
        <v>604</v>
      </c>
      <c r="F164" s="140" t="s">
        <v>277</v>
      </c>
      <c r="G164" s="140"/>
      <c r="H164" s="141" t="s">
        <v>278</v>
      </c>
      <c r="I164" s="141" t="s">
        <v>279</v>
      </c>
      <c r="J164" s="141"/>
      <c r="K164" s="141" t="s">
        <v>280</v>
      </c>
      <c r="L164" s="141" t="s">
        <v>451</v>
      </c>
      <c r="M164" s="141"/>
      <c r="N164" s="141"/>
      <c r="O164" s="141"/>
      <c r="P164" s="141"/>
      <c r="Q164" s="141"/>
      <c r="R164" s="141"/>
      <c r="S164" s="141"/>
      <c r="T164" s="141"/>
      <c r="U164" s="117" t="s">
        <v>282</v>
      </c>
    </row>
    <row r="165" spans="1:21" ht="10" customHeight="1" x14ac:dyDescent="0.35">
      <c r="A165" s="140" t="s">
        <v>87</v>
      </c>
      <c r="B165" s="117">
        <v>5</v>
      </c>
      <c r="C165" s="140"/>
      <c r="D165" s="116" t="s">
        <v>605</v>
      </c>
      <c r="E165" s="140" t="s">
        <v>606</v>
      </c>
      <c r="F165" s="140" t="s">
        <v>277</v>
      </c>
      <c r="G165" s="140"/>
      <c r="H165" s="141" t="s">
        <v>278</v>
      </c>
      <c r="I165" s="141" t="s">
        <v>279</v>
      </c>
      <c r="J165" s="141"/>
      <c r="K165" s="141" t="s">
        <v>280</v>
      </c>
      <c r="L165" s="141" t="s">
        <v>451</v>
      </c>
      <c r="M165" s="141"/>
      <c r="N165" s="141"/>
      <c r="O165" s="141"/>
      <c r="P165" s="141"/>
      <c r="Q165" s="141"/>
      <c r="R165" s="141"/>
      <c r="S165" s="141"/>
      <c r="T165" s="141"/>
      <c r="U165" s="117" t="s">
        <v>282</v>
      </c>
    </row>
    <row r="166" spans="1:21" ht="10" customHeight="1" x14ac:dyDescent="0.35">
      <c r="A166" s="140" t="s">
        <v>87</v>
      </c>
      <c r="B166" s="117">
        <v>5</v>
      </c>
      <c r="C166" s="140"/>
      <c r="D166" s="116" t="s">
        <v>607</v>
      </c>
      <c r="E166" s="140" t="s">
        <v>608</v>
      </c>
      <c r="F166" s="140" t="s">
        <v>277</v>
      </c>
      <c r="G166" s="140"/>
      <c r="H166" s="141" t="s">
        <v>278</v>
      </c>
      <c r="I166" s="141" t="s">
        <v>279</v>
      </c>
      <c r="J166" s="141"/>
      <c r="K166" s="141" t="s">
        <v>280</v>
      </c>
      <c r="L166" s="141" t="s">
        <v>451</v>
      </c>
      <c r="M166" s="141"/>
      <c r="N166" s="141"/>
      <c r="O166" s="141"/>
      <c r="P166" s="141"/>
      <c r="Q166" s="141"/>
      <c r="R166" s="141"/>
      <c r="S166" s="141"/>
      <c r="T166" s="141"/>
      <c r="U166" s="117" t="s">
        <v>282</v>
      </c>
    </row>
    <row r="167" spans="1:21" ht="10" customHeight="1" x14ac:dyDescent="0.35">
      <c r="A167" s="140" t="s">
        <v>87</v>
      </c>
      <c r="B167" s="117">
        <v>5</v>
      </c>
      <c r="C167" s="140"/>
      <c r="D167" s="116" t="s">
        <v>609</v>
      </c>
      <c r="E167" s="140" t="s">
        <v>610</v>
      </c>
      <c r="F167" s="140" t="s">
        <v>277</v>
      </c>
      <c r="G167" s="140"/>
      <c r="H167" s="141" t="s">
        <v>278</v>
      </c>
      <c r="I167" s="141" t="s">
        <v>279</v>
      </c>
      <c r="J167" s="141"/>
      <c r="K167" s="141" t="s">
        <v>280</v>
      </c>
      <c r="L167" s="141" t="s">
        <v>611</v>
      </c>
      <c r="M167" s="141"/>
      <c r="N167" s="141"/>
      <c r="O167" s="141"/>
      <c r="P167" s="141"/>
      <c r="Q167" s="141"/>
      <c r="R167" s="141"/>
      <c r="S167" s="141"/>
      <c r="T167" s="141"/>
      <c r="U167" s="117" t="s">
        <v>282</v>
      </c>
    </row>
    <row r="168" spans="1:21" ht="10" customHeight="1" x14ac:dyDescent="0.35">
      <c r="A168" s="140" t="s">
        <v>87</v>
      </c>
      <c r="B168" s="117">
        <v>5</v>
      </c>
      <c r="C168" s="140"/>
      <c r="D168" s="116" t="s">
        <v>612</v>
      </c>
      <c r="E168" s="140" t="s">
        <v>613</v>
      </c>
      <c r="F168" s="140" t="s">
        <v>277</v>
      </c>
      <c r="G168" s="140"/>
      <c r="H168" s="141" t="s">
        <v>278</v>
      </c>
      <c r="I168" s="141" t="s">
        <v>279</v>
      </c>
      <c r="J168" s="141"/>
      <c r="K168" s="141" t="s">
        <v>280</v>
      </c>
      <c r="L168" s="141" t="s">
        <v>451</v>
      </c>
      <c r="M168" s="141"/>
      <c r="N168" s="141"/>
      <c r="O168" s="141"/>
      <c r="P168" s="141"/>
      <c r="Q168" s="141"/>
      <c r="R168" s="141"/>
      <c r="S168" s="141"/>
      <c r="T168" s="141"/>
      <c r="U168" s="117" t="s">
        <v>282</v>
      </c>
    </row>
    <row r="169" spans="1:21" ht="10" customHeight="1" x14ac:dyDescent="0.35">
      <c r="A169" s="140" t="s">
        <v>87</v>
      </c>
      <c r="B169" s="117">
        <v>5</v>
      </c>
      <c r="C169" s="140"/>
      <c r="D169" s="116" t="s">
        <v>614</v>
      </c>
      <c r="E169" s="140" t="s">
        <v>615</v>
      </c>
      <c r="F169" s="140" t="s">
        <v>277</v>
      </c>
      <c r="G169" s="140"/>
      <c r="H169" s="141" t="s">
        <v>278</v>
      </c>
      <c r="I169" s="141" t="s">
        <v>279</v>
      </c>
      <c r="J169" s="141"/>
      <c r="K169" s="141" t="s">
        <v>280</v>
      </c>
      <c r="L169" s="141" t="s">
        <v>451</v>
      </c>
      <c r="M169" s="141"/>
      <c r="N169" s="141"/>
      <c r="O169" s="141"/>
      <c r="P169" s="141"/>
      <c r="Q169" s="141"/>
      <c r="R169" s="141"/>
      <c r="S169" s="141"/>
      <c r="T169" s="141"/>
      <c r="U169" s="117" t="s">
        <v>282</v>
      </c>
    </row>
    <row r="170" spans="1:21" ht="10" customHeight="1" x14ac:dyDescent="0.35">
      <c r="A170" s="140" t="s">
        <v>87</v>
      </c>
      <c r="B170" s="117">
        <v>5</v>
      </c>
      <c r="C170" s="140"/>
      <c r="D170" s="116" t="s">
        <v>616</v>
      </c>
      <c r="E170" s="140" t="s">
        <v>617</v>
      </c>
      <c r="F170" s="140" t="s">
        <v>277</v>
      </c>
      <c r="G170" s="140"/>
      <c r="H170" s="141" t="s">
        <v>93</v>
      </c>
      <c r="I170" s="141" t="s">
        <v>618</v>
      </c>
      <c r="J170" s="141"/>
      <c r="K170" s="141" t="s">
        <v>280</v>
      </c>
      <c r="L170" s="141" t="s">
        <v>451</v>
      </c>
      <c r="M170" s="141"/>
      <c r="N170" s="141"/>
      <c r="O170" s="141"/>
      <c r="P170" s="141"/>
      <c r="Q170" s="141"/>
      <c r="R170" s="141"/>
      <c r="S170" s="141"/>
      <c r="T170" s="141"/>
      <c r="U170" s="117" t="s">
        <v>282</v>
      </c>
    </row>
    <row r="171" spans="1:21" ht="10" customHeight="1" x14ac:dyDescent="0.35">
      <c r="A171" s="142" t="s">
        <v>87</v>
      </c>
      <c r="B171" s="117">
        <v>5</v>
      </c>
      <c r="C171" s="142"/>
      <c r="D171" s="116" t="s">
        <v>619</v>
      </c>
      <c r="E171" s="142" t="s">
        <v>620</v>
      </c>
      <c r="F171" s="142" t="s">
        <v>277</v>
      </c>
      <c r="G171" s="143"/>
      <c r="H171" s="144" t="s">
        <v>278</v>
      </c>
      <c r="I171" s="144" t="s">
        <v>279</v>
      </c>
      <c r="J171" s="144"/>
      <c r="K171" s="144" t="s">
        <v>280</v>
      </c>
      <c r="L171" s="144" t="s">
        <v>451</v>
      </c>
      <c r="M171" s="144"/>
      <c r="N171" s="144"/>
      <c r="O171" s="144"/>
      <c r="P171" s="144"/>
      <c r="Q171" s="144"/>
      <c r="R171" s="144"/>
      <c r="S171" s="144"/>
      <c r="T171" s="144"/>
      <c r="U171" s="117" t="s">
        <v>282</v>
      </c>
    </row>
    <row r="172" spans="1:21" ht="10" customHeight="1" x14ac:dyDescent="0.35">
      <c r="A172" s="142" t="s">
        <v>87</v>
      </c>
      <c r="B172" s="117">
        <v>15</v>
      </c>
      <c r="C172" s="142"/>
      <c r="D172" s="116" t="s">
        <v>621</v>
      </c>
      <c r="E172" s="142" t="s">
        <v>622</v>
      </c>
      <c r="F172" s="142" t="s">
        <v>277</v>
      </c>
      <c r="G172" s="143"/>
      <c r="H172" s="144" t="s">
        <v>278</v>
      </c>
      <c r="I172" s="144" t="s">
        <v>279</v>
      </c>
      <c r="J172" s="144"/>
      <c r="K172" s="144" t="s">
        <v>280</v>
      </c>
      <c r="L172" s="144" t="s">
        <v>451</v>
      </c>
      <c r="M172" s="144"/>
      <c r="N172" s="144"/>
      <c r="O172" s="144"/>
      <c r="P172" s="144"/>
      <c r="Q172" s="144"/>
      <c r="R172" s="144"/>
      <c r="S172" s="144"/>
      <c r="T172" s="144"/>
      <c r="U172" s="117" t="s">
        <v>282</v>
      </c>
    </row>
    <row r="173" spans="1:21" ht="10" customHeight="1" x14ac:dyDescent="0.35">
      <c r="A173" s="142" t="s">
        <v>87</v>
      </c>
      <c r="B173" s="117">
        <v>15</v>
      </c>
      <c r="C173" s="142"/>
      <c r="D173" s="116" t="s">
        <v>623</v>
      </c>
      <c r="E173" s="142" t="s">
        <v>624</v>
      </c>
      <c r="F173" s="142" t="s">
        <v>277</v>
      </c>
      <c r="G173" s="143"/>
      <c r="H173" s="144" t="s">
        <v>278</v>
      </c>
      <c r="I173" s="144" t="s">
        <v>279</v>
      </c>
      <c r="J173" s="144"/>
      <c r="K173" s="144" t="s">
        <v>280</v>
      </c>
      <c r="L173" s="144" t="s">
        <v>451</v>
      </c>
      <c r="M173" s="144"/>
      <c r="N173" s="144"/>
      <c r="O173" s="144"/>
      <c r="P173" s="144"/>
      <c r="Q173" s="144"/>
      <c r="R173" s="144"/>
      <c r="S173" s="144"/>
      <c r="T173" s="144"/>
      <c r="U173" s="117" t="s">
        <v>282</v>
      </c>
    </row>
    <row r="174" spans="1:21" ht="10" customHeight="1" x14ac:dyDescent="0.35">
      <c r="A174" s="145" t="s">
        <v>87</v>
      </c>
      <c r="B174" s="117">
        <v>16</v>
      </c>
      <c r="C174" s="145"/>
      <c r="D174" s="116" t="s">
        <v>26</v>
      </c>
      <c r="E174" s="145" t="s">
        <v>625</v>
      </c>
      <c r="F174" s="145" t="s">
        <v>277</v>
      </c>
      <c r="G174" s="145"/>
      <c r="H174" s="146" t="s">
        <v>445</v>
      </c>
      <c r="I174" s="146" t="s">
        <v>279</v>
      </c>
      <c r="J174" s="146"/>
      <c r="K174" s="146" t="s">
        <v>280</v>
      </c>
      <c r="L174" s="146" t="s">
        <v>502</v>
      </c>
      <c r="M174" s="146"/>
      <c r="N174" s="146"/>
      <c r="O174" s="146"/>
      <c r="P174" s="146"/>
      <c r="Q174" s="146"/>
      <c r="R174" s="146"/>
      <c r="S174" s="146"/>
      <c r="T174" s="146"/>
      <c r="U174" s="117" t="s">
        <v>282</v>
      </c>
    </row>
    <row r="175" spans="1:21" ht="10" customHeight="1" x14ac:dyDescent="0.35">
      <c r="A175" s="147" t="s">
        <v>87</v>
      </c>
      <c r="B175" s="117">
        <v>15</v>
      </c>
      <c r="C175" s="147"/>
      <c r="D175" s="116" t="s">
        <v>626</v>
      </c>
      <c r="E175" s="147" t="s">
        <v>627</v>
      </c>
      <c r="F175" s="147" t="s">
        <v>277</v>
      </c>
      <c r="G175" s="147"/>
      <c r="H175" s="148" t="s">
        <v>295</v>
      </c>
      <c r="I175" s="148" t="s">
        <v>279</v>
      </c>
      <c r="J175" s="148"/>
      <c r="K175" s="148" t="s">
        <v>280</v>
      </c>
      <c r="L175" s="148" t="s">
        <v>451</v>
      </c>
      <c r="M175" s="148"/>
      <c r="N175" s="148"/>
      <c r="O175" s="148"/>
      <c r="P175" s="148"/>
      <c r="Q175" s="148"/>
      <c r="R175" s="148"/>
      <c r="S175" s="148"/>
      <c r="T175" s="148"/>
      <c r="U175" s="117" t="s">
        <v>282</v>
      </c>
    </row>
    <row r="176" spans="1:21" ht="10" customHeight="1" x14ac:dyDescent="0.35">
      <c r="A176" s="147" t="s">
        <v>87</v>
      </c>
      <c r="B176" s="117">
        <v>15</v>
      </c>
      <c r="C176" s="147"/>
      <c r="D176" s="116" t="s">
        <v>628</v>
      </c>
      <c r="E176" s="147" t="s">
        <v>629</v>
      </c>
      <c r="F176" s="147" t="s">
        <v>277</v>
      </c>
      <c r="G176" s="147"/>
      <c r="H176" s="148" t="s">
        <v>295</v>
      </c>
      <c r="I176" s="148" t="s">
        <v>279</v>
      </c>
      <c r="J176" s="148"/>
      <c r="K176" s="148" t="s">
        <v>280</v>
      </c>
      <c r="L176" s="148" t="s">
        <v>451</v>
      </c>
      <c r="M176" s="148"/>
      <c r="N176" s="148"/>
      <c r="O176" s="148"/>
      <c r="P176" s="148"/>
      <c r="Q176" s="148"/>
      <c r="R176" s="148"/>
      <c r="S176" s="148"/>
      <c r="T176" s="148"/>
      <c r="U176" s="117" t="s">
        <v>282</v>
      </c>
    </row>
    <row r="177" spans="1:21" ht="10" customHeight="1" x14ac:dyDescent="0.35">
      <c r="A177" s="147" t="s">
        <v>553</v>
      </c>
      <c r="B177" s="117">
        <v>40</v>
      </c>
      <c r="C177" s="147"/>
      <c r="D177" s="116" t="s">
        <v>352</v>
      </c>
      <c r="E177" s="147" t="s">
        <v>630</v>
      </c>
      <c r="F177" s="147" t="s">
        <v>277</v>
      </c>
      <c r="G177" s="147"/>
      <c r="H177" s="148" t="s">
        <v>93</v>
      </c>
      <c r="I177" s="148" t="s">
        <v>279</v>
      </c>
      <c r="J177" s="148"/>
      <c r="K177" s="148" t="s">
        <v>280</v>
      </c>
      <c r="L177" s="148" t="s">
        <v>436</v>
      </c>
      <c r="M177" s="148"/>
      <c r="N177" s="148"/>
      <c r="O177" s="148"/>
      <c r="P177" s="148"/>
      <c r="Q177" s="148"/>
      <c r="R177" s="148"/>
      <c r="S177" s="148"/>
      <c r="T177" s="148"/>
      <c r="U177" s="117" t="s">
        <v>282</v>
      </c>
    </row>
    <row r="178" spans="1:21" ht="10" customHeight="1" x14ac:dyDescent="0.35">
      <c r="A178" s="147" t="s">
        <v>359</v>
      </c>
      <c r="B178" s="117">
        <v>5</v>
      </c>
      <c r="C178" s="147"/>
      <c r="D178" s="116" t="s">
        <v>352</v>
      </c>
      <c r="E178" s="147" t="s">
        <v>631</v>
      </c>
      <c r="F178" s="147" t="s">
        <v>277</v>
      </c>
      <c r="G178" s="147"/>
      <c r="H178" s="148" t="s">
        <v>295</v>
      </c>
      <c r="I178" s="148" t="s">
        <v>279</v>
      </c>
      <c r="J178" s="148"/>
      <c r="K178" s="148" t="s">
        <v>280</v>
      </c>
      <c r="L178" s="148" t="s">
        <v>436</v>
      </c>
      <c r="M178" s="148"/>
      <c r="N178" s="148"/>
      <c r="O178" s="148"/>
      <c r="P178" s="148"/>
      <c r="Q178" s="148"/>
      <c r="R178" s="148"/>
      <c r="S178" s="148"/>
      <c r="T178" s="148"/>
      <c r="U178" s="117" t="s">
        <v>288</v>
      </c>
    </row>
    <row r="179" spans="1:21" ht="10" customHeight="1" x14ac:dyDescent="0.35">
      <c r="A179" s="147" t="s">
        <v>453</v>
      </c>
      <c r="B179" s="117">
        <v>2</v>
      </c>
      <c r="C179" s="147"/>
      <c r="D179" s="116" t="s">
        <v>632</v>
      </c>
      <c r="E179" s="147" t="s">
        <v>633</v>
      </c>
      <c r="F179" s="147" t="s">
        <v>277</v>
      </c>
      <c r="G179" s="147"/>
      <c r="H179" s="148" t="s">
        <v>278</v>
      </c>
      <c r="I179" s="148" t="s">
        <v>279</v>
      </c>
      <c r="J179" s="148"/>
      <c r="K179" s="148" t="s">
        <v>280</v>
      </c>
      <c r="L179" s="148" t="s">
        <v>451</v>
      </c>
      <c r="M179" s="148"/>
      <c r="N179" s="148"/>
      <c r="O179" s="148"/>
      <c r="P179" s="148"/>
      <c r="Q179" s="148"/>
      <c r="R179" s="148"/>
      <c r="S179" s="148"/>
      <c r="T179" s="148"/>
      <c r="U179" s="117" t="s">
        <v>282</v>
      </c>
    </row>
    <row r="180" spans="1:21" ht="10" customHeight="1" x14ac:dyDescent="0.35">
      <c r="A180" s="147" t="s">
        <v>453</v>
      </c>
      <c r="B180" s="117">
        <v>2</v>
      </c>
      <c r="C180" s="147"/>
      <c r="D180" s="116" t="s">
        <v>632</v>
      </c>
      <c r="E180" s="147" t="s">
        <v>634</v>
      </c>
      <c r="F180" s="147" t="s">
        <v>277</v>
      </c>
      <c r="G180" s="147"/>
      <c r="H180" s="148" t="s">
        <v>278</v>
      </c>
      <c r="I180" s="148" t="s">
        <v>279</v>
      </c>
      <c r="J180" s="148"/>
      <c r="K180" s="148" t="s">
        <v>280</v>
      </c>
      <c r="L180" s="148" t="s">
        <v>451</v>
      </c>
      <c r="M180" s="148"/>
      <c r="N180" s="148"/>
      <c r="O180" s="148"/>
      <c r="P180" s="148"/>
      <c r="Q180" s="148"/>
      <c r="R180" s="148"/>
      <c r="S180" s="148"/>
      <c r="T180" s="148"/>
      <c r="U180" s="117" t="s">
        <v>282</v>
      </c>
    </row>
    <row r="181" spans="1:21" ht="10" customHeight="1" x14ac:dyDescent="0.35">
      <c r="A181" s="147" t="s">
        <v>453</v>
      </c>
      <c r="B181" s="117">
        <v>6</v>
      </c>
      <c r="C181" s="147"/>
      <c r="D181" s="116" t="s">
        <v>635</v>
      </c>
      <c r="E181" s="147" t="s">
        <v>636</v>
      </c>
      <c r="F181" s="147" t="s">
        <v>277</v>
      </c>
      <c r="G181" s="147"/>
      <c r="H181" s="148" t="s">
        <v>295</v>
      </c>
      <c r="I181" s="148" t="s">
        <v>279</v>
      </c>
      <c r="J181" s="148"/>
      <c r="K181" s="148" t="s">
        <v>280</v>
      </c>
      <c r="L181" s="148" t="s">
        <v>451</v>
      </c>
      <c r="M181" s="148"/>
      <c r="N181" s="148"/>
      <c r="O181" s="148"/>
      <c r="P181" s="148"/>
      <c r="Q181" s="148"/>
      <c r="R181" s="148"/>
      <c r="S181" s="148"/>
      <c r="T181" s="148"/>
      <c r="U181" s="117" t="s">
        <v>282</v>
      </c>
    </row>
    <row r="182" spans="1:21" ht="10" customHeight="1" x14ac:dyDescent="0.35">
      <c r="A182" s="147" t="s">
        <v>453</v>
      </c>
      <c r="B182" s="117">
        <v>6</v>
      </c>
      <c r="C182" s="147"/>
      <c r="D182" s="116" t="s">
        <v>635</v>
      </c>
      <c r="E182" s="147" t="s">
        <v>637</v>
      </c>
      <c r="F182" s="147" t="s">
        <v>277</v>
      </c>
      <c r="G182" s="147"/>
      <c r="H182" s="148" t="s">
        <v>278</v>
      </c>
      <c r="I182" s="148" t="s">
        <v>279</v>
      </c>
      <c r="J182" s="148"/>
      <c r="K182" s="148" t="s">
        <v>280</v>
      </c>
      <c r="L182" s="148" t="s">
        <v>451</v>
      </c>
      <c r="M182" s="148"/>
      <c r="N182" s="148"/>
      <c r="O182" s="148"/>
      <c r="P182" s="148"/>
      <c r="Q182" s="148"/>
      <c r="R182" s="148"/>
      <c r="S182" s="148"/>
      <c r="T182" s="148"/>
      <c r="U182" s="117" t="s">
        <v>282</v>
      </c>
    </row>
    <row r="183" spans="1:21" ht="10" customHeight="1" x14ac:dyDescent="0.35">
      <c r="A183" s="147" t="s">
        <v>87</v>
      </c>
      <c r="B183" s="117">
        <v>2</v>
      </c>
      <c r="C183" s="147"/>
      <c r="D183" s="116" t="s">
        <v>488</v>
      </c>
      <c r="E183" s="147" t="s">
        <v>638</v>
      </c>
      <c r="F183" s="147" t="s">
        <v>277</v>
      </c>
      <c r="G183" s="147"/>
      <c r="H183" s="148" t="s">
        <v>278</v>
      </c>
      <c r="I183" s="148" t="s">
        <v>279</v>
      </c>
      <c r="J183" s="148"/>
      <c r="K183" s="148" t="s">
        <v>280</v>
      </c>
      <c r="L183" s="148" t="s">
        <v>484</v>
      </c>
      <c r="M183" s="148"/>
      <c r="N183" s="148"/>
      <c r="O183" s="148"/>
      <c r="P183" s="148"/>
      <c r="Q183" s="148"/>
      <c r="R183" s="148"/>
      <c r="S183" s="148"/>
      <c r="T183" s="148"/>
      <c r="U183" s="117" t="s">
        <v>282</v>
      </c>
    </row>
    <row r="184" spans="1:21" ht="10" customHeight="1" x14ac:dyDescent="0.35">
      <c r="A184" s="149" t="s">
        <v>87</v>
      </c>
      <c r="B184" s="117">
        <v>15</v>
      </c>
      <c r="C184" s="149"/>
      <c r="D184" s="116" t="s">
        <v>303</v>
      </c>
      <c r="E184" s="149" t="s">
        <v>639</v>
      </c>
      <c r="F184" s="149" t="s">
        <v>277</v>
      </c>
      <c r="G184" s="149"/>
      <c r="H184" s="154" t="s">
        <v>278</v>
      </c>
      <c r="I184" s="150" t="s">
        <v>573</v>
      </c>
      <c r="J184" s="150"/>
      <c r="K184" s="150" t="s">
        <v>280</v>
      </c>
      <c r="L184" s="150" t="s">
        <v>574</v>
      </c>
      <c r="M184" s="150"/>
      <c r="N184" s="150"/>
      <c r="O184" s="150"/>
      <c r="P184" s="150"/>
      <c r="Q184" s="150"/>
      <c r="R184" s="150"/>
      <c r="S184" s="150"/>
      <c r="T184" s="150"/>
      <c r="U184" s="117" t="s">
        <v>282</v>
      </c>
    </row>
    <row r="185" spans="1:21" ht="10" customHeight="1" x14ac:dyDescent="0.35">
      <c r="A185" s="151" t="s">
        <v>87</v>
      </c>
      <c r="B185" s="117">
        <v>27</v>
      </c>
      <c r="C185" s="151"/>
      <c r="D185" s="116" t="s">
        <v>303</v>
      </c>
      <c r="E185" s="151" t="s">
        <v>640</v>
      </c>
      <c r="F185" s="151" t="s">
        <v>277</v>
      </c>
      <c r="G185" s="151"/>
      <c r="H185" s="154" t="s">
        <v>278</v>
      </c>
      <c r="I185" s="152" t="s">
        <v>573</v>
      </c>
      <c r="J185" s="152"/>
      <c r="K185" s="152" t="s">
        <v>280</v>
      </c>
      <c r="L185" s="152" t="s">
        <v>574</v>
      </c>
      <c r="M185" s="152"/>
      <c r="N185" s="152"/>
      <c r="O185" s="152"/>
      <c r="P185" s="152"/>
      <c r="Q185" s="152"/>
      <c r="R185" s="152"/>
      <c r="S185" s="152"/>
      <c r="T185" s="152"/>
      <c r="U185" s="117" t="s">
        <v>282</v>
      </c>
    </row>
    <row r="186" spans="1:21" ht="10" customHeight="1" x14ac:dyDescent="0.35">
      <c r="A186" s="153" t="s">
        <v>87</v>
      </c>
      <c r="B186" s="117">
        <v>7</v>
      </c>
      <c r="C186" s="153"/>
      <c r="D186" s="116" t="s">
        <v>303</v>
      </c>
      <c r="E186" s="153" t="s">
        <v>641</v>
      </c>
      <c r="F186" s="153" t="s">
        <v>277</v>
      </c>
      <c r="G186" s="153"/>
      <c r="H186" s="154" t="s">
        <v>278</v>
      </c>
      <c r="I186" s="154" t="s">
        <v>573</v>
      </c>
      <c r="J186" s="154"/>
      <c r="K186" s="154" t="s">
        <v>280</v>
      </c>
      <c r="L186" s="154" t="s">
        <v>574</v>
      </c>
      <c r="M186" s="154"/>
      <c r="N186" s="154"/>
      <c r="O186" s="154"/>
      <c r="P186" s="154"/>
      <c r="Q186" s="154"/>
      <c r="R186" s="154"/>
      <c r="S186" s="154"/>
      <c r="T186" s="154"/>
      <c r="U186" s="117" t="s">
        <v>282</v>
      </c>
    </row>
    <row r="187" spans="1:21" ht="10" customHeight="1" x14ac:dyDescent="0.35">
      <c r="A187" s="153" t="s">
        <v>87</v>
      </c>
      <c r="B187" s="117">
        <v>40</v>
      </c>
      <c r="C187" s="153"/>
      <c r="D187" s="116" t="s">
        <v>303</v>
      </c>
      <c r="E187" s="153" t="s">
        <v>642</v>
      </c>
      <c r="F187" s="153" t="s">
        <v>277</v>
      </c>
      <c r="G187" s="153"/>
      <c r="H187" s="154" t="s">
        <v>278</v>
      </c>
      <c r="I187" s="154" t="s">
        <v>573</v>
      </c>
      <c r="J187" s="154"/>
      <c r="K187" s="154" t="s">
        <v>280</v>
      </c>
      <c r="L187" s="154" t="s">
        <v>574</v>
      </c>
      <c r="M187" s="154"/>
      <c r="N187" s="154"/>
      <c r="O187" s="154"/>
      <c r="P187" s="154"/>
      <c r="Q187" s="154"/>
      <c r="R187" s="154"/>
      <c r="S187" s="154"/>
      <c r="T187" s="154"/>
      <c r="U187" s="117" t="s">
        <v>282</v>
      </c>
    </row>
    <row r="188" spans="1:21" ht="10" customHeight="1" x14ac:dyDescent="0.35">
      <c r="A188" s="153" t="s">
        <v>453</v>
      </c>
      <c r="B188" s="117">
        <v>2</v>
      </c>
      <c r="C188" s="153"/>
      <c r="D188" s="116" t="s">
        <v>643</v>
      </c>
      <c r="E188" s="153" t="s">
        <v>644</v>
      </c>
      <c r="F188" s="153" t="s">
        <v>277</v>
      </c>
      <c r="G188" s="153"/>
      <c r="H188" s="154" t="s">
        <v>93</v>
      </c>
      <c r="I188" s="154" t="s">
        <v>296</v>
      </c>
      <c r="J188" s="154"/>
      <c r="K188" s="154" t="s">
        <v>280</v>
      </c>
      <c r="L188" s="154" t="s">
        <v>436</v>
      </c>
      <c r="M188" s="154"/>
      <c r="N188" s="154"/>
      <c r="O188" s="154"/>
      <c r="P188" s="154"/>
      <c r="Q188" s="154"/>
      <c r="R188" s="154"/>
      <c r="S188" s="154"/>
      <c r="T188" s="154"/>
      <c r="U188" s="117" t="s">
        <v>282</v>
      </c>
    </row>
    <row r="189" spans="1:21" ht="10.199999999999999" customHeight="1" x14ac:dyDescent="0.35">
      <c r="A189" s="154" t="s">
        <v>453</v>
      </c>
      <c r="B189" s="117">
        <v>2</v>
      </c>
      <c r="C189" s="154"/>
      <c r="D189" s="116" t="s">
        <v>643</v>
      </c>
      <c r="E189" s="154" t="s">
        <v>645</v>
      </c>
      <c r="F189" s="154" t="s">
        <v>277</v>
      </c>
      <c r="G189" s="154"/>
      <c r="H189" s="154" t="s">
        <v>278</v>
      </c>
      <c r="I189" s="154" t="s">
        <v>279</v>
      </c>
      <c r="J189" s="154"/>
      <c r="K189" s="154" t="s">
        <v>280</v>
      </c>
      <c r="L189" s="154" t="s">
        <v>451</v>
      </c>
      <c r="M189" s="154"/>
      <c r="N189" s="154"/>
      <c r="O189" s="154"/>
      <c r="P189" s="154"/>
      <c r="Q189" s="154"/>
      <c r="R189" s="154"/>
      <c r="S189" s="154"/>
      <c r="T189" s="154"/>
      <c r="U189" s="117" t="s">
        <v>282</v>
      </c>
    </row>
    <row r="190" spans="1:21" s="121" customFormat="1" ht="10" customHeight="1" x14ac:dyDescent="0.35">
      <c r="A190" s="126" t="s">
        <v>646</v>
      </c>
      <c r="B190" s="117">
        <v>1</v>
      </c>
      <c r="C190" s="126"/>
      <c r="D190" s="116" t="s">
        <v>647</v>
      </c>
      <c r="E190" s="126" t="s">
        <v>648</v>
      </c>
      <c r="F190" s="126" t="s">
        <v>277</v>
      </c>
      <c r="G190" s="126"/>
      <c r="H190" s="127" t="s">
        <v>93</v>
      </c>
      <c r="I190" s="127" t="s">
        <v>93</v>
      </c>
      <c r="J190" s="127"/>
      <c r="K190" s="127" t="s">
        <v>280</v>
      </c>
      <c r="L190" s="127" t="s">
        <v>316</v>
      </c>
      <c r="M190" s="127"/>
      <c r="N190" s="127"/>
      <c r="O190" s="127"/>
      <c r="P190" s="127"/>
      <c r="Q190" s="127"/>
      <c r="R190" s="127"/>
      <c r="S190" s="127"/>
      <c r="T190" s="127"/>
      <c r="U190" s="117" t="s">
        <v>288</v>
      </c>
    </row>
    <row r="191" spans="1:21" s="121" customFormat="1" ht="10" customHeight="1" x14ac:dyDescent="0.35">
      <c r="A191" s="126" t="s">
        <v>87</v>
      </c>
      <c r="B191" s="117">
        <v>26</v>
      </c>
      <c r="C191" s="126"/>
      <c r="D191" s="116" t="s">
        <v>303</v>
      </c>
      <c r="E191" s="126" t="s">
        <v>649</v>
      </c>
      <c r="F191" s="126" t="s">
        <v>277</v>
      </c>
      <c r="G191" s="126"/>
      <c r="H191" s="154" t="s">
        <v>278</v>
      </c>
      <c r="I191" s="127" t="s">
        <v>573</v>
      </c>
      <c r="J191" s="127"/>
      <c r="K191" s="127" t="s">
        <v>280</v>
      </c>
      <c r="L191" s="127" t="s">
        <v>650</v>
      </c>
      <c r="M191" s="127"/>
      <c r="N191" s="127"/>
      <c r="O191" s="127"/>
      <c r="P191" s="127"/>
      <c r="Q191" s="127"/>
      <c r="R191" s="127"/>
      <c r="S191" s="127"/>
      <c r="T191" s="127"/>
      <c r="U191" s="117" t="s">
        <v>282</v>
      </c>
    </row>
    <row r="192" spans="1:21" s="121" customFormat="1" ht="10" customHeight="1" x14ac:dyDescent="0.35">
      <c r="A192" s="126" t="s">
        <v>87</v>
      </c>
      <c r="B192" s="117">
        <v>12</v>
      </c>
      <c r="C192" s="126"/>
      <c r="D192" s="116" t="s">
        <v>303</v>
      </c>
      <c r="E192" s="126" t="s">
        <v>651</v>
      </c>
      <c r="F192" s="126" t="s">
        <v>277</v>
      </c>
      <c r="G192" s="126"/>
      <c r="H192" s="154" t="s">
        <v>278</v>
      </c>
      <c r="I192" s="127" t="s">
        <v>573</v>
      </c>
      <c r="J192" s="127"/>
      <c r="K192" s="127" t="s">
        <v>280</v>
      </c>
      <c r="L192" s="127" t="s">
        <v>652</v>
      </c>
      <c r="M192" s="127"/>
      <c r="N192" s="127"/>
      <c r="O192" s="127"/>
      <c r="P192" s="127"/>
      <c r="Q192" s="127"/>
      <c r="R192" s="127"/>
      <c r="S192" s="127"/>
      <c r="T192" s="127"/>
      <c r="U192" s="117" t="s">
        <v>282</v>
      </c>
    </row>
    <row r="193" spans="1:21" s="121" customFormat="1" ht="10" customHeight="1" x14ac:dyDescent="0.35">
      <c r="A193" s="126" t="s">
        <v>359</v>
      </c>
      <c r="B193" s="117">
        <v>5</v>
      </c>
      <c r="C193" s="126"/>
      <c r="D193" s="116" t="s">
        <v>248</v>
      </c>
      <c r="E193" s="126" t="s">
        <v>653</v>
      </c>
      <c r="F193" s="126" t="s">
        <v>277</v>
      </c>
      <c r="G193" s="126"/>
      <c r="H193" s="127" t="s">
        <v>295</v>
      </c>
      <c r="I193" s="127" t="s">
        <v>279</v>
      </c>
      <c r="J193" s="127"/>
      <c r="K193" s="127" t="s">
        <v>280</v>
      </c>
      <c r="L193" s="127" t="s">
        <v>436</v>
      </c>
      <c r="M193" s="127"/>
      <c r="N193" s="127"/>
      <c r="O193" s="127"/>
      <c r="P193" s="127"/>
      <c r="Q193" s="127"/>
      <c r="R193" s="127"/>
      <c r="S193" s="127"/>
      <c r="T193" s="127"/>
      <c r="U193" s="117" t="s">
        <v>288</v>
      </c>
    </row>
    <row r="194" spans="1:21" s="121" customFormat="1" ht="10" customHeight="1" x14ac:dyDescent="0.35">
      <c r="A194" s="126" t="s">
        <v>654</v>
      </c>
      <c r="B194" s="117">
        <v>1</v>
      </c>
      <c r="C194" s="126"/>
      <c r="D194" s="116" t="s">
        <v>303</v>
      </c>
      <c r="E194" s="126" t="s">
        <v>655</v>
      </c>
      <c r="F194" s="126" t="s">
        <v>277</v>
      </c>
      <c r="G194" s="126"/>
      <c r="H194" s="154" t="s">
        <v>278</v>
      </c>
      <c r="I194" s="127" t="s">
        <v>573</v>
      </c>
      <c r="J194" s="127"/>
      <c r="K194" s="127" t="s">
        <v>280</v>
      </c>
      <c r="L194" s="127" t="s">
        <v>652</v>
      </c>
      <c r="M194" s="127"/>
      <c r="N194" s="127"/>
      <c r="O194" s="127"/>
      <c r="P194" s="127"/>
      <c r="Q194" s="127"/>
      <c r="R194" s="127"/>
      <c r="S194" s="127"/>
      <c r="T194" s="127"/>
      <c r="U194" s="117" t="s">
        <v>288</v>
      </c>
    </row>
    <row r="195" spans="1:21" s="121" customFormat="1" ht="10" customHeight="1" x14ac:dyDescent="0.35">
      <c r="A195" s="126" t="s">
        <v>453</v>
      </c>
      <c r="B195" s="117">
        <v>2</v>
      </c>
      <c r="C195" s="126"/>
      <c r="D195" s="116" t="s">
        <v>471</v>
      </c>
      <c r="E195" s="126" t="s">
        <v>656</v>
      </c>
      <c r="F195" s="126" t="s">
        <v>277</v>
      </c>
      <c r="G195" s="126"/>
      <c r="H195" s="127" t="s">
        <v>295</v>
      </c>
      <c r="I195" s="127" t="s">
        <v>279</v>
      </c>
      <c r="J195" s="127"/>
      <c r="K195" s="127" t="s">
        <v>280</v>
      </c>
      <c r="L195" s="127" t="s">
        <v>657</v>
      </c>
      <c r="M195" s="127"/>
      <c r="N195" s="127"/>
      <c r="O195" s="127"/>
      <c r="P195" s="127"/>
      <c r="Q195" s="127"/>
      <c r="R195" s="127"/>
      <c r="S195" s="127"/>
      <c r="T195" s="127"/>
      <c r="U195" s="117" t="s">
        <v>282</v>
      </c>
    </row>
    <row r="196" spans="1:21" s="121" customFormat="1" ht="10" customHeight="1" x14ac:dyDescent="0.35">
      <c r="A196" s="126" t="s">
        <v>646</v>
      </c>
      <c r="B196" s="117">
        <v>2</v>
      </c>
      <c r="C196" s="126"/>
      <c r="D196" s="116" t="s">
        <v>392</v>
      </c>
      <c r="E196" s="126" t="s">
        <v>658</v>
      </c>
      <c r="F196" s="126" t="s">
        <v>277</v>
      </c>
      <c r="G196" s="126"/>
      <c r="H196" s="127" t="s">
        <v>93</v>
      </c>
      <c r="I196" s="127" t="s">
        <v>93</v>
      </c>
      <c r="J196" s="127"/>
      <c r="K196" s="127" t="s">
        <v>280</v>
      </c>
      <c r="L196" s="127" t="s">
        <v>328</v>
      </c>
      <c r="M196" s="127"/>
      <c r="N196" s="127"/>
      <c r="O196" s="127"/>
      <c r="P196" s="127"/>
      <c r="Q196" s="127"/>
      <c r="R196" s="127"/>
      <c r="S196" s="127"/>
      <c r="T196" s="127"/>
      <c r="U196" s="117" t="s">
        <v>288</v>
      </c>
    </row>
    <row r="197" spans="1:21" s="121" customFormat="1" ht="10" customHeight="1" x14ac:dyDescent="0.35">
      <c r="A197" s="126" t="s">
        <v>654</v>
      </c>
      <c r="B197" s="117">
        <v>2</v>
      </c>
      <c r="C197" s="126"/>
      <c r="D197" s="116" t="s">
        <v>310</v>
      </c>
      <c r="E197" s="126" t="s">
        <v>659</v>
      </c>
      <c r="F197" s="126" t="s">
        <v>277</v>
      </c>
      <c r="G197" s="126"/>
      <c r="H197" s="127" t="s">
        <v>295</v>
      </c>
      <c r="I197" s="127" t="s">
        <v>305</v>
      </c>
      <c r="J197" s="127"/>
      <c r="K197" s="127" t="s">
        <v>280</v>
      </c>
      <c r="L197" s="127" t="s">
        <v>660</v>
      </c>
      <c r="M197" s="127"/>
      <c r="N197" s="127"/>
      <c r="O197" s="127"/>
      <c r="P197" s="127"/>
      <c r="Q197" s="127"/>
      <c r="R197" s="127"/>
      <c r="S197" s="127"/>
      <c r="T197" s="127"/>
      <c r="U197" s="117" t="s">
        <v>288</v>
      </c>
    </row>
    <row r="198" spans="1:21" s="121" customFormat="1" ht="10" customHeight="1" x14ac:dyDescent="0.35">
      <c r="A198" s="126" t="s">
        <v>453</v>
      </c>
      <c r="B198" s="117">
        <v>4</v>
      </c>
      <c r="C198" s="126"/>
      <c r="D198" s="116" t="s">
        <v>548</v>
      </c>
      <c r="E198" s="126" t="s">
        <v>661</v>
      </c>
      <c r="F198" s="126" t="s">
        <v>277</v>
      </c>
      <c r="G198" s="126"/>
      <c r="H198" s="127" t="s">
        <v>295</v>
      </c>
      <c r="I198" s="127" t="s">
        <v>279</v>
      </c>
      <c r="J198" s="127"/>
      <c r="K198" s="127" t="s">
        <v>280</v>
      </c>
      <c r="L198" s="127" t="s">
        <v>662</v>
      </c>
      <c r="M198" s="127"/>
      <c r="N198" s="127"/>
      <c r="O198" s="127"/>
      <c r="P198" s="127"/>
      <c r="Q198" s="127"/>
      <c r="R198" s="127"/>
      <c r="S198" s="127"/>
      <c r="T198" s="127"/>
      <c r="U198" s="117" t="s">
        <v>282</v>
      </c>
    </row>
    <row r="199" spans="1:21" s="121" customFormat="1" ht="10" customHeight="1" x14ac:dyDescent="0.35">
      <c r="A199" s="126" t="s">
        <v>453</v>
      </c>
      <c r="B199" s="117">
        <v>4</v>
      </c>
      <c r="C199" s="126"/>
      <c r="D199" s="116" t="s">
        <v>663</v>
      </c>
      <c r="E199" s="126" t="s">
        <v>664</v>
      </c>
      <c r="F199" s="126" t="s">
        <v>277</v>
      </c>
      <c r="G199" s="126"/>
      <c r="H199" s="127" t="s">
        <v>93</v>
      </c>
      <c r="I199" s="127" t="s">
        <v>279</v>
      </c>
      <c r="J199" s="127"/>
      <c r="K199" s="127" t="s">
        <v>280</v>
      </c>
      <c r="L199" s="127" t="s">
        <v>665</v>
      </c>
      <c r="M199" s="127"/>
      <c r="N199" s="127"/>
      <c r="O199" s="127"/>
      <c r="P199" s="127"/>
      <c r="Q199" s="127"/>
      <c r="R199" s="127"/>
      <c r="S199" s="127"/>
      <c r="T199" s="127"/>
      <c r="U199" s="117" t="s">
        <v>282</v>
      </c>
    </row>
    <row r="200" spans="1:21" s="121" customFormat="1" ht="10" customHeight="1" x14ac:dyDescent="0.35">
      <c r="A200" s="126" t="s">
        <v>453</v>
      </c>
      <c r="B200" s="117">
        <v>4</v>
      </c>
      <c r="C200" s="126"/>
      <c r="D200" s="116" t="s">
        <v>533</v>
      </c>
      <c r="E200" s="126" t="s">
        <v>666</v>
      </c>
      <c r="F200" s="126" t="s">
        <v>277</v>
      </c>
      <c r="G200" s="126"/>
      <c r="H200" s="127" t="s">
        <v>295</v>
      </c>
      <c r="I200" s="127" t="s">
        <v>279</v>
      </c>
      <c r="J200" s="127"/>
      <c r="K200" s="127" t="s">
        <v>280</v>
      </c>
      <c r="L200" s="127" t="s">
        <v>667</v>
      </c>
      <c r="M200" s="127"/>
      <c r="N200" s="127"/>
      <c r="O200" s="127"/>
      <c r="P200" s="127"/>
      <c r="Q200" s="127"/>
      <c r="R200" s="127"/>
      <c r="S200" s="127"/>
      <c r="T200" s="127"/>
      <c r="U200" s="117" t="s">
        <v>282</v>
      </c>
    </row>
    <row r="201" spans="1:21" s="121" customFormat="1" ht="10" customHeight="1" x14ac:dyDescent="0.35">
      <c r="A201" s="126" t="s">
        <v>453</v>
      </c>
      <c r="B201" s="117">
        <v>6</v>
      </c>
      <c r="C201" s="126"/>
      <c r="D201" s="116" t="s">
        <v>463</v>
      </c>
      <c r="E201" s="126" t="s">
        <v>668</v>
      </c>
      <c r="F201" s="126" t="s">
        <v>277</v>
      </c>
      <c r="G201" s="126"/>
      <c r="H201" s="127" t="s">
        <v>295</v>
      </c>
      <c r="I201" s="127" t="s">
        <v>279</v>
      </c>
      <c r="J201" s="127"/>
      <c r="K201" s="127" t="s">
        <v>280</v>
      </c>
      <c r="L201" s="127" t="s">
        <v>667</v>
      </c>
      <c r="M201" s="127"/>
      <c r="N201" s="127"/>
      <c r="O201" s="127"/>
      <c r="P201" s="127"/>
      <c r="Q201" s="127"/>
      <c r="R201" s="127"/>
      <c r="S201" s="127"/>
      <c r="T201" s="127"/>
      <c r="U201" s="117" t="s">
        <v>282</v>
      </c>
    </row>
    <row r="202" spans="1:21" s="121" customFormat="1" ht="10" customHeight="1" x14ac:dyDescent="0.35">
      <c r="A202" s="126" t="s">
        <v>453</v>
      </c>
      <c r="B202" s="117">
        <v>4</v>
      </c>
      <c r="C202" s="126"/>
      <c r="D202" s="116" t="s">
        <v>669</v>
      </c>
      <c r="E202" s="126" t="s">
        <v>670</v>
      </c>
      <c r="F202" s="126" t="s">
        <v>277</v>
      </c>
      <c r="G202" s="126"/>
      <c r="H202" s="127" t="s">
        <v>295</v>
      </c>
      <c r="I202" s="127" t="s">
        <v>279</v>
      </c>
      <c r="J202" s="127"/>
      <c r="K202" s="127" t="s">
        <v>280</v>
      </c>
      <c r="L202" s="127" t="s">
        <v>657</v>
      </c>
      <c r="M202" s="127"/>
      <c r="N202" s="127"/>
      <c r="O202" s="127"/>
      <c r="P202" s="127"/>
      <c r="Q202" s="127"/>
      <c r="R202" s="127"/>
      <c r="S202" s="127"/>
      <c r="T202" s="127"/>
      <c r="U202" s="117" t="s">
        <v>282</v>
      </c>
    </row>
    <row r="203" spans="1:21" s="121" customFormat="1" ht="10" customHeight="1" x14ac:dyDescent="0.35">
      <c r="A203" s="126" t="s">
        <v>453</v>
      </c>
      <c r="B203" s="117">
        <v>10</v>
      </c>
      <c r="C203" s="126"/>
      <c r="D203" s="116" t="s">
        <v>671</v>
      </c>
      <c r="E203" s="126" t="s">
        <v>672</v>
      </c>
      <c r="F203" s="126" t="s">
        <v>277</v>
      </c>
      <c r="G203" s="126"/>
      <c r="H203" s="127" t="s">
        <v>278</v>
      </c>
      <c r="I203" s="127" t="s">
        <v>279</v>
      </c>
      <c r="J203" s="127"/>
      <c r="K203" s="127" t="s">
        <v>280</v>
      </c>
      <c r="L203" s="127" t="s">
        <v>657</v>
      </c>
      <c r="M203" s="127"/>
      <c r="N203" s="127"/>
      <c r="O203" s="127"/>
      <c r="P203" s="127"/>
      <c r="Q203" s="127"/>
      <c r="R203" s="127"/>
      <c r="S203" s="127"/>
      <c r="T203" s="127"/>
      <c r="U203" s="117" t="s">
        <v>282</v>
      </c>
    </row>
    <row r="204" spans="1:21" s="121" customFormat="1" ht="10" customHeight="1" x14ac:dyDescent="0.35">
      <c r="A204" s="126" t="s">
        <v>453</v>
      </c>
      <c r="B204" s="117">
        <v>5</v>
      </c>
      <c r="C204" s="126"/>
      <c r="D204" s="116" t="s">
        <v>673</v>
      </c>
      <c r="E204" s="126" t="s">
        <v>674</v>
      </c>
      <c r="F204" s="126" t="s">
        <v>277</v>
      </c>
      <c r="G204" s="126"/>
      <c r="H204" s="127" t="s">
        <v>278</v>
      </c>
      <c r="I204" s="127" t="s">
        <v>279</v>
      </c>
      <c r="J204" s="127"/>
      <c r="K204" s="127" t="s">
        <v>280</v>
      </c>
      <c r="L204" s="127" t="s">
        <v>657</v>
      </c>
      <c r="M204" s="127"/>
      <c r="N204" s="127"/>
      <c r="O204" s="127"/>
      <c r="P204" s="127"/>
      <c r="Q204" s="127"/>
      <c r="R204" s="127"/>
      <c r="S204" s="127"/>
      <c r="T204" s="127"/>
      <c r="U204" s="117" t="s">
        <v>282</v>
      </c>
    </row>
    <row r="205" spans="1:21" s="121" customFormat="1" ht="10" customHeight="1" x14ac:dyDescent="0.35">
      <c r="A205" s="126" t="s">
        <v>453</v>
      </c>
      <c r="B205" s="117">
        <v>2</v>
      </c>
      <c r="C205" s="126"/>
      <c r="D205" s="116" t="s">
        <v>675</v>
      </c>
      <c r="E205" s="126" t="s">
        <v>676</v>
      </c>
      <c r="F205" s="126" t="s">
        <v>277</v>
      </c>
      <c r="G205" s="126"/>
      <c r="H205" s="127" t="s">
        <v>278</v>
      </c>
      <c r="I205" s="127" t="s">
        <v>279</v>
      </c>
      <c r="J205" s="127"/>
      <c r="K205" s="127" t="s">
        <v>280</v>
      </c>
      <c r="L205" s="127" t="s">
        <v>667</v>
      </c>
      <c r="M205" s="127"/>
      <c r="N205" s="127"/>
      <c r="O205" s="127"/>
      <c r="P205" s="127"/>
      <c r="Q205" s="127"/>
      <c r="R205" s="127"/>
      <c r="S205" s="127"/>
      <c r="T205" s="127"/>
      <c r="U205" s="117" t="s">
        <v>282</v>
      </c>
    </row>
    <row r="206" spans="1:21" s="121" customFormat="1" ht="10" customHeight="1" x14ac:dyDescent="0.35">
      <c r="A206" s="126" t="s">
        <v>453</v>
      </c>
      <c r="B206" s="117">
        <v>2</v>
      </c>
      <c r="C206" s="126"/>
      <c r="D206" s="116" t="s">
        <v>677</v>
      </c>
      <c r="E206" s="126" t="s">
        <v>678</v>
      </c>
      <c r="F206" s="126" t="s">
        <v>277</v>
      </c>
      <c r="G206" s="126"/>
      <c r="H206" s="127" t="s">
        <v>278</v>
      </c>
      <c r="I206" s="127" t="s">
        <v>279</v>
      </c>
      <c r="J206" s="127"/>
      <c r="K206" s="127" t="s">
        <v>280</v>
      </c>
      <c r="L206" s="127" t="s">
        <v>667</v>
      </c>
      <c r="M206" s="127"/>
      <c r="N206" s="127"/>
      <c r="O206" s="127"/>
      <c r="P206" s="127"/>
      <c r="Q206" s="127"/>
      <c r="R206" s="127"/>
      <c r="S206" s="127"/>
      <c r="T206" s="127"/>
      <c r="U206" s="117" t="s">
        <v>282</v>
      </c>
    </row>
    <row r="207" spans="1:21" s="121" customFormat="1" ht="10" customHeight="1" x14ac:dyDescent="0.35">
      <c r="A207" s="126" t="s">
        <v>359</v>
      </c>
      <c r="B207" s="117">
        <v>5</v>
      </c>
      <c r="C207" s="126"/>
      <c r="D207" s="116" t="s">
        <v>352</v>
      </c>
      <c r="E207" s="126" t="s">
        <v>679</v>
      </c>
      <c r="F207" s="126" t="s">
        <v>277</v>
      </c>
      <c r="G207" s="126"/>
      <c r="H207" s="127" t="s">
        <v>295</v>
      </c>
      <c r="I207" s="127" t="s">
        <v>279</v>
      </c>
      <c r="J207" s="127"/>
      <c r="K207" s="127" t="s">
        <v>280</v>
      </c>
      <c r="L207" s="127" t="s">
        <v>436</v>
      </c>
      <c r="M207" s="127"/>
      <c r="N207" s="127"/>
      <c r="O207" s="127"/>
      <c r="P207" s="127"/>
      <c r="Q207" s="127"/>
      <c r="R207" s="127"/>
      <c r="S207" s="127"/>
      <c r="T207" s="127"/>
      <c r="U207" s="117" t="s">
        <v>288</v>
      </c>
    </row>
    <row r="208" spans="1:21" s="121" customFormat="1" ht="10" customHeight="1" x14ac:dyDescent="0.35">
      <c r="A208" s="126" t="s">
        <v>646</v>
      </c>
      <c r="B208" s="117">
        <v>2</v>
      </c>
      <c r="C208" s="126"/>
      <c r="D208" s="116" t="s">
        <v>317</v>
      </c>
      <c r="E208" s="126" t="s">
        <v>680</v>
      </c>
      <c r="F208" s="126" t="s">
        <v>277</v>
      </c>
      <c r="G208" s="126"/>
      <c r="H208" s="127" t="s">
        <v>93</v>
      </c>
      <c r="I208" s="127" t="s">
        <v>93</v>
      </c>
      <c r="J208" s="127"/>
      <c r="K208" s="127" t="s">
        <v>280</v>
      </c>
      <c r="L208" s="127" t="s">
        <v>328</v>
      </c>
      <c r="M208" s="127"/>
      <c r="N208" s="127"/>
      <c r="O208" s="127"/>
      <c r="P208" s="127"/>
      <c r="Q208" s="127"/>
      <c r="R208" s="127"/>
      <c r="S208" s="127"/>
      <c r="T208" s="127"/>
      <c r="U208" s="117" t="s">
        <v>288</v>
      </c>
    </row>
    <row r="209" spans="1:21" s="121" customFormat="1" ht="10" customHeight="1" x14ac:dyDescent="0.35">
      <c r="A209" s="126" t="s">
        <v>654</v>
      </c>
      <c r="B209" s="117">
        <v>14</v>
      </c>
      <c r="C209" s="126"/>
      <c r="D209" s="116" t="s">
        <v>681</v>
      </c>
      <c r="E209" s="126" t="s">
        <v>682</v>
      </c>
      <c r="F209" s="126" t="s">
        <v>277</v>
      </c>
      <c r="G209" s="126"/>
      <c r="H209" s="127" t="s">
        <v>278</v>
      </c>
      <c r="I209" s="127" t="s">
        <v>573</v>
      </c>
      <c r="J209" s="127"/>
      <c r="K209" s="127" t="s">
        <v>280</v>
      </c>
      <c r="L209" s="127" t="s">
        <v>683</v>
      </c>
      <c r="M209" s="127"/>
      <c r="N209" s="127"/>
      <c r="O209" s="127"/>
      <c r="P209" s="127"/>
      <c r="Q209" s="127"/>
      <c r="R209" s="127"/>
      <c r="S209" s="127"/>
      <c r="T209" s="127"/>
      <c r="U209" s="117" t="s">
        <v>288</v>
      </c>
    </row>
    <row r="210" spans="1:21" s="121" customFormat="1" ht="10" customHeight="1" x14ac:dyDescent="0.35">
      <c r="A210" s="126" t="s">
        <v>453</v>
      </c>
      <c r="B210" s="117">
        <v>3</v>
      </c>
      <c r="C210" s="126"/>
      <c r="D210" s="116" t="s">
        <v>681</v>
      </c>
      <c r="E210" s="126" t="s">
        <v>684</v>
      </c>
      <c r="F210" s="126" t="s">
        <v>277</v>
      </c>
      <c r="G210" s="126"/>
      <c r="H210" s="127" t="s">
        <v>278</v>
      </c>
      <c r="I210" s="127" t="s">
        <v>573</v>
      </c>
      <c r="J210" s="127"/>
      <c r="K210" s="127" t="s">
        <v>280</v>
      </c>
      <c r="L210" s="127" t="s">
        <v>683</v>
      </c>
      <c r="M210" s="127"/>
      <c r="N210" s="127"/>
      <c r="O210" s="127"/>
      <c r="P210" s="127"/>
      <c r="Q210" s="127"/>
      <c r="R210" s="127"/>
      <c r="S210" s="127"/>
      <c r="T210" s="127"/>
      <c r="U210" s="117" t="s">
        <v>282</v>
      </c>
    </row>
    <row r="211" spans="1:21" s="121" customFormat="1" ht="10" customHeight="1" x14ac:dyDescent="0.35">
      <c r="A211" s="126" t="s">
        <v>453</v>
      </c>
      <c r="B211" s="117">
        <v>2</v>
      </c>
      <c r="C211" s="126"/>
      <c r="D211" s="116" t="s">
        <v>471</v>
      </c>
      <c r="E211" s="126" t="s">
        <v>685</v>
      </c>
      <c r="F211" s="126" t="s">
        <v>277</v>
      </c>
      <c r="G211" s="126"/>
      <c r="H211" s="127" t="s">
        <v>295</v>
      </c>
      <c r="I211" s="127" t="s">
        <v>279</v>
      </c>
      <c r="J211" s="127"/>
      <c r="K211" s="127" t="s">
        <v>280</v>
      </c>
      <c r="L211" s="127" t="s">
        <v>686</v>
      </c>
      <c r="M211" s="127"/>
      <c r="N211" s="127"/>
      <c r="O211" s="127"/>
      <c r="P211" s="127"/>
      <c r="Q211" s="127"/>
      <c r="R211" s="127"/>
      <c r="S211" s="127"/>
      <c r="T211" s="127"/>
      <c r="U211" s="117" t="s">
        <v>282</v>
      </c>
    </row>
    <row r="212" spans="1:21" s="121" customFormat="1" ht="10" customHeight="1" x14ac:dyDescent="0.35">
      <c r="A212" s="126" t="s">
        <v>453</v>
      </c>
      <c r="B212" s="117">
        <v>2</v>
      </c>
      <c r="C212" s="126"/>
      <c r="D212" s="116" t="s">
        <v>471</v>
      </c>
      <c r="E212" s="126" t="s">
        <v>687</v>
      </c>
      <c r="F212" s="126" t="s">
        <v>277</v>
      </c>
      <c r="G212" s="126"/>
      <c r="H212" s="127" t="s">
        <v>295</v>
      </c>
      <c r="I212" s="127" t="s">
        <v>279</v>
      </c>
      <c r="J212" s="127"/>
      <c r="K212" s="127" t="s">
        <v>280</v>
      </c>
      <c r="L212" s="127" t="s">
        <v>686</v>
      </c>
      <c r="M212" s="127"/>
      <c r="N212" s="127"/>
      <c r="O212" s="127"/>
      <c r="P212" s="127"/>
      <c r="Q212" s="127"/>
      <c r="R212" s="127"/>
      <c r="S212" s="127"/>
      <c r="T212" s="127"/>
      <c r="U212" s="117" t="s">
        <v>282</v>
      </c>
    </row>
    <row r="213" spans="1:21" s="121" customFormat="1" ht="10" customHeight="1" x14ac:dyDescent="0.35">
      <c r="A213" s="126" t="s">
        <v>453</v>
      </c>
      <c r="B213" s="117">
        <v>2</v>
      </c>
      <c r="C213" s="126"/>
      <c r="D213" s="116" t="s">
        <v>471</v>
      </c>
      <c r="E213" s="126" t="s">
        <v>688</v>
      </c>
      <c r="F213" s="126" t="s">
        <v>277</v>
      </c>
      <c r="G213" s="126"/>
      <c r="H213" s="127" t="s">
        <v>295</v>
      </c>
      <c r="I213" s="127" t="s">
        <v>279</v>
      </c>
      <c r="J213" s="127"/>
      <c r="K213" s="127" t="s">
        <v>280</v>
      </c>
      <c r="L213" s="127" t="s">
        <v>686</v>
      </c>
      <c r="M213" s="127"/>
      <c r="N213" s="127"/>
      <c r="O213" s="127"/>
      <c r="P213" s="127"/>
      <c r="Q213" s="127"/>
      <c r="R213" s="127"/>
      <c r="S213" s="127"/>
      <c r="T213" s="127"/>
      <c r="U213" s="117" t="s">
        <v>282</v>
      </c>
    </row>
    <row r="214" spans="1:21" s="121" customFormat="1" ht="10" customHeight="1" x14ac:dyDescent="0.35">
      <c r="A214" s="126" t="s">
        <v>453</v>
      </c>
      <c r="B214" s="117">
        <v>16</v>
      </c>
      <c r="C214" s="126"/>
      <c r="D214" s="116" t="s">
        <v>26</v>
      </c>
      <c r="E214" s="126" t="s">
        <v>689</v>
      </c>
      <c r="F214" s="126" t="s">
        <v>277</v>
      </c>
      <c r="G214" s="126"/>
      <c r="H214" s="127" t="s">
        <v>93</v>
      </c>
      <c r="I214" s="127" t="s">
        <v>279</v>
      </c>
      <c r="J214" s="127"/>
      <c r="K214" s="127" t="s">
        <v>280</v>
      </c>
      <c r="L214" s="127" t="s">
        <v>657</v>
      </c>
      <c r="M214" s="127"/>
      <c r="N214" s="127"/>
      <c r="O214" s="127"/>
      <c r="P214" s="127"/>
      <c r="Q214" s="127"/>
      <c r="R214" s="127"/>
      <c r="S214" s="127"/>
      <c r="T214" s="127"/>
      <c r="U214" s="117" t="s">
        <v>282</v>
      </c>
    </row>
    <row r="215" spans="1:21" s="121" customFormat="1" ht="10" customHeight="1" x14ac:dyDescent="0.35">
      <c r="A215" s="126" t="s">
        <v>453</v>
      </c>
      <c r="B215" s="117">
        <v>8</v>
      </c>
      <c r="C215" s="126"/>
      <c r="D215" s="116" t="s">
        <v>317</v>
      </c>
      <c r="E215" s="126" t="s">
        <v>690</v>
      </c>
      <c r="F215" s="126" t="s">
        <v>277</v>
      </c>
      <c r="G215" s="126"/>
      <c r="H215" s="127" t="s">
        <v>93</v>
      </c>
      <c r="I215" s="127" t="s">
        <v>93</v>
      </c>
      <c r="J215" s="127"/>
      <c r="K215" s="127" t="s">
        <v>280</v>
      </c>
      <c r="L215" s="127" t="s">
        <v>328</v>
      </c>
      <c r="M215" s="127"/>
      <c r="N215" s="127"/>
      <c r="O215" s="127"/>
      <c r="P215" s="127"/>
      <c r="Q215" s="127"/>
      <c r="R215" s="127"/>
      <c r="S215" s="127"/>
      <c r="T215" s="127"/>
      <c r="U215" s="117" t="s">
        <v>282</v>
      </c>
    </row>
    <row r="216" spans="1:21" s="121" customFormat="1" ht="10" customHeight="1" x14ac:dyDescent="0.35">
      <c r="A216" s="126" t="s">
        <v>453</v>
      </c>
      <c r="B216" s="117">
        <v>4</v>
      </c>
      <c r="C216" s="126"/>
      <c r="D216" s="116" t="s">
        <v>284</v>
      </c>
      <c r="E216" s="126" t="s">
        <v>691</v>
      </c>
      <c r="F216" s="126" t="s">
        <v>277</v>
      </c>
      <c r="G216" s="126"/>
      <c r="H216" s="127" t="s">
        <v>295</v>
      </c>
      <c r="I216" s="127" t="s">
        <v>692</v>
      </c>
      <c r="J216" s="127"/>
      <c r="K216" s="127" t="s">
        <v>280</v>
      </c>
      <c r="L216" s="127" t="s">
        <v>439</v>
      </c>
      <c r="M216" s="127"/>
      <c r="N216" s="127"/>
      <c r="O216" s="127"/>
      <c r="P216" s="127"/>
      <c r="Q216" s="127"/>
      <c r="R216" s="127"/>
      <c r="S216" s="127"/>
      <c r="T216" s="127"/>
      <c r="U216" s="117" t="s">
        <v>282</v>
      </c>
    </row>
    <row r="217" spans="1:21" s="121" customFormat="1" ht="10" customHeight="1" x14ac:dyDescent="0.35">
      <c r="A217" s="126" t="s">
        <v>453</v>
      </c>
      <c r="B217" s="117">
        <v>6</v>
      </c>
      <c r="C217" s="126"/>
      <c r="D217" s="116" t="s">
        <v>510</v>
      </c>
      <c r="E217" s="126" t="s">
        <v>693</v>
      </c>
      <c r="F217" s="126" t="s">
        <v>277</v>
      </c>
      <c r="G217" s="126"/>
      <c r="H217" s="127" t="s">
        <v>295</v>
      </c>
      <c r="I217" s="127" t="s">
        <v>279</v>
      </c>
      <c r="J217" s="127"/>
      <c r="K217" s="127" t="s">
        <v>280</v>
      </c>
      <c r="L217" s="127" t="s">
        <v>686</v>
      </c>
      <c r="M217" s="127"/>
      <c r="N217" s="127"/>
      <c r="O217" s="127"/>
      <c r="P217" s="127"/>
      <c r="Q217" s="127"/>
      <c r="R217" s="127"/>
      <c r="S217" s="127"/>
      <c r="T217" s="127"/>
      <c r="U217" s="117" t="s">
        <v>282</v>
      </c>
    </row>
    <row r="218" spans="1:21" s="121" customFormat="1" ht="10" customHeight="1" x14ac:dyDescent="0.35">
      <c r="A218" s="126" t="s">
        <v>453</v>
      </c>
      <c r="B218" s="117">
        <v>3</v>
      </c>
      <c r="C218" s="126"/>
      <c r="D218" s="116" t="s">
        <v>694</v>
      </c>
      <c r="E218" s="126" t="s">
        <v>695</v>
      </c>
      <c r="F218" s="126" t="s">
        <v>277</v>
      </c>
      <c r="G218" s="126"/>
      <c r="H218" s="127" t="s">
        <v>295</v>
      </c>
      <c r="I218" s="127" t="s">
        <v>279</v>
      </c>
      <c r="J218" s="127"/>
      <c r="K218" s="127" t="s">
        <v>280</v>
      </c>
      <c r="L218" s="127" t="s">
        <v>667</v>
      </c>
      <c r="M218" s="127"/>
      <c r="N218" s="127"/>
      <c r="O218" s="127"/>
      <c r="P218" s="127"/>
      <c r="Q218" s="127"/>
      <c r="R218" s="127"/>
      <c r="S218" s="127"/>
      <c r="T218" s="127"/>
      <c r="U218" s="117" t="s">
        <v>282</v>
      </c>
    </row>
    <row r="219" spans="1:21" s="121" customFormat="1" ht="10" customHeight="1" x14ac:dyDescent="0.35">
      <c r="A219" s="126" t="s">
        <v>453</v>
      </c>
      <c r="B219" s="117">
        <v>4</v>
      </c>
      <c r="C219" s="126"/>
      <c r="D219" s="116" t="s">
        <v>440</v>
      </c>
      <c r="E219" s="126" t="s">
        <v>696</v>
      </c>
      <c r="F219" s="126" t="s">
        <v>277</v>
      </c>
      <c r="G219" s="126"/>
      <c r="H219" s="127" t="s">
        <v>295</v>
      </c>
      <c r="I219" s="127" t="s">
        <v>279</v>
      </c>
      <c r="J219" s="127"/>
      <c r="K219" s="127" t="s">
        <v>280</v>
      </c>
      <c r="L219" s="127" t="s">
        <v>686</v>
      </c>
      <c r="M219" s="127"/>
      <c r="N219" s="127"/>
      <c r="O219" s="127"/>
      <c r="P219" s="127"/>
      <c r="Q219" s="127"/>
      <c r="R219" s="127"/>
      <c r="S219" s="127"/>
      <c r="T219" s="127"/>
      <c r="U219" s="117" t="s">
        <v>282</v>
      </c>
    </row>
    <row r="220" spans="1:21" s="121" customFormat="1" ht="10" customHeight="1" x14ac:dyDescent="0.35">
      <c r="A220" s="126" t="s">
        <v>453</v>
      </c>
      <c r="B220" s="117">
        <v>14</v>
      </c>
      <c r="C220" s="126"/>
      <c r="D220" s="116" t="s">
        <v>317</v>
      </c>
      <c r="E220" s="126" t="s">
        <v>697</v>
      </c>
      <c r="F220" s="126" t="s">
        <v>277</v>
      </c>
      <c r="G220" s="126"/>
      <c r="H220" s="127" t="s">
        <v>93</v>
      </c>
      <c r="I220" s="127" t="s">
        <v>93</v>
      </c>
      <c r="J220" s="127"/>
      <c r="K220" s="127" t="s">
        <v>280</v>
      </c>
      <c r="L220" s="127" t="s">
        <v>328</v>
      </c>
      <c r="M220" s="127"/>
      <c r="N220" s="127"/>
      <c r="O220" s="127"/>
      <c r="P220" s="127"/>
      <c r="Q220" s="127"/>
      <c r="R220" s="127"/>
      <c r="S220" s="127"/>
      <c r="T220" s="127"/>
      <c r="U220" s="117" t="s">
        <v>282</v>
      </c>
    </row>
    <row r="221" spans="1:21" s="121" customFormat="1" ht="10" customHeight="1" x14ac:dyDescent="0.35">
      <c r="A221" s="126" t="s">
        <v>646</v>
      </c>
      <c r="B221" s="117">
        <v>6</v>
      </c>
      <c r="C221" s="126"/>
      <c r="D221" s="116" t="s">
        <v>698</v>
      </c>
      <c r="E221" s="126" t="s">
        <v>699</v>
      </c>
      <c r="F221" s="126" t="s">
        <v>277</v>
      </c>
      <c r="G221" s="126"/>
      <c r="H221" s="127" t="s">
        <v>278</v>
      </c>
      <c r="I221" s="127" t="s">
        <v>279</v>
      </c>
      <c r="J221" s="127"/>
      <c r="K221" s="127" t="s">
        <v>280</v>
      </c>
      <c r="L221" s="127" t="s">
        <v>657</v>
      </c>
      <c r="M221" s="127"/>
      <c r="N221" s="127"/>
      <c r="O221" s="127"/>
      <c r="P221" s="127"/>
      <c r="Q221" s="127"/>
      <c r="R221" s="127"/>
      <c r="S221" s="127"/>
      <c r="T221" s="127"/>
      <c r="U221" s="117" t="s">
        <v>282</v>
      </c>
    </row>
    <row r="222" spans="1:21" s="121" customFormat="1" ht="10" customHeight="1" x14ac:dyDescent="0.35">
      <c r="A222" s="126" t="s">
        <v>646</v>
      </c>
      <c r="B222" s="117">
        <v>3</v>
      </c>
      <c r="C222" s="126"/>
      <c r="D222" s="116" t="s">
        <v>317</v>
      </c>
      <c r="E222" s="126" t="s">
        <v>700</v>
      </c>
      <c r="F222" s="126" t="s">
        <v>277</v>
      </c>
      <c r="G222" s="126"/>
      <c r="H222" s="127" t="s">
        <v>93</v>
      </c>
      <c r="I222" s="127" t="s">
        <v>93</v>
      </c>
      <c r="J222" s="127"/>
      <c r="K222" s="127" t="s">
        <v>280</v>
      </c>
      <c r="L222" s="127" t="s">
        <v>328</v>
      </c>
      <c r="M222" s="127"/>
      <c r="N222" s="127"/>
      <c r="O222" s="127"/>
      <c r="P222" s="127"/>
      <c r="Q222" s="127"/>
      <c r="R222" s="127"/>
      <c r="S222" s="127"/>
      <c r="T222" s="127"/>
      <c r="U222" s="117" t="s">
        <v>288</v>
      </c>
    </row>
    <row r="223" spans="1:21" s="121" customFormat="1" ht="10" customHeight="1" x14ac:dyDescent="0.35">
      <c r="A223" s="126" t="s">
        <v>453</v>
      </c>
      <c r="B223" s="117">
        <v>2</v>
      </c>
      <c r="C223" s="126"/>
      <c r="D223" s="116" t="s">
        <v>488</v>
      </c>
      <c r="E223" s="126" t="s">
        <v>701</v>
      </c>
      <c r="F223" s="126" t="s">
        <v>277</v>
      </c>
      <c r="G223" s="126"/>
      <c r="H223" s="127" t="s">
        <v>278</v>
      </c>
      <c r="I223" s="127" t="s">
        <v>279</v>
      </c>
      <c r="J223" s="127"/>
      <c r="K223" s="127" t="s">
        <v>280</v>
      </c>
      <c r="L223" s="127" t="s">
        <v>657</v>
      </c>
      <c r="M223" s="127"/>
      <c r="N223" s="127"/>
      <c r="O223" s="127"/>
      <c r="P223" s="127"/>
      <c r="Q223" s="127"/>
      <c r="R223" s="127"/>
      <c r="S223" s="127"/>
      <c r="T223" s="127"/>
      <c r="U223" s="117" t="s">
        <v>282</v>
      </c>
    </row>
    <row r="224" spans="1:21" s="121" customFormat="1" ht="10" customHeight="1" x14ac:dyDescent="0.35">
      <c r="A224" s="126" t="s">
        <v>646</v>
      </c>
      <c r="B224" s="117">
        <v>3</v>
      </c>
      <c r="C224" s="126"/>
      <c r="D224" s="116" t="s">
        <v>702</v>
      </c>
      <c r="E224" s="126" t="s">
        <v>703</v>
      </c>
      <c r="F224" s="126" t="s">
        <v>277</v>
      </c>
      <c r="G224" s="126"/>
      <c r="H224" s="127" t="s">
        <v>295</v>
      </c>
      <c r="I224" s="127" t="s">
        <v>279</v>
      </c>
      <c r="J224" s="127"/>
      <c r="K224" s="127" t="s">
        <v>280</v>
      </c>
      <c r="L224" s="127" t="s">
        <v>451</v>
      </c>
      <c r="M224" s="127"/>
      <c r="N224" s="127"/>
      <c r="O224" s="127"/>
      <c r="P224" s="127"/>
      <c r="Q224" s="127"/>
      <c r="R224" s="127"/>
      <c r="S224" s="127"/>
      <c r="T224" s="127"/>
      <c r="U224" s="117" t="s">
        <v>288</v>
      </c>
    </row>
    <row r="225" spans="1:21" s="121" customFormat="1" ht="10" customHeight="1" x14ac:dyDescent="0.35">
      <c r="A225" s="126" t="s">
        <v>646</v>
      </c>
      <c r="B225" s="117">
        <v>4</v>
      </c>
      <c r="C225" s="126"/>
      <c r="D225" s="116" t="s">
        <v>455</v>
      </c>
      <c r="E225" s="126" t="s">
        <v>704</v>
      </c>
      <c r="F225" s="126" t="s">
        <v>277</v>
      </c>
      <c r="G225" s="126"/>
      <c r="H225" s="127" t="s">
        <v>295</v>
      </c>
      <c r="I225" s="127" t="s">
        <v>279</v>
      </c>
      <c r="J225" s="127"/>
      <c r="K225" s="127" t="s">
        <v>280</v>
      </c>
      <c r="L225" s="127" t="s">
        <v>657</v>
      </c>
      <c r="M225" s="127"/>
      <c r="N225" s="127"/>
      <c r="O225" s="127"/>
      <c r="P225" s="127"/>
      <c r="Q225" s="127"/>
      <c r="R225" s="127"/>
      <c r="S225" s="127"/>
      <c r="T225" s="127"/>
      <c r="U225" s="117" t="s">
        <v>288</v>
      </c>
    </row>
    <row r="226" spans="1:21" s="121" customFormat="1" ht="10" customHeight="1" x14ac:dyDescent="0.35">
      <c r="A226" s="126" t="s">
        <v>646</v>
      </c>
      <c r="B226" s="117">
        <v>6</v>
      </c>
      <c r="C226" s="126"/>
      <c r="D226" s="116" t="s">
        <v>705</v>
      </c>
      <c r="E226" s="126" t="s">
        <v>706</v>
      </c>
      <c r="F226" s="126" t="s">
        <v>277</v>
      </c>
      <c r="G226" s="126"/>
      <c r="H226" s="127" t="s">
        <v>278</v>
      </c>
      <c r="I226" s="127" t="s">
        <v>279</v>
      </c>
      <c r="J226" s="127"/>
      <c r="K226" s="127" t="s">
        <v>280</v>
      </c>
      <c r="L226" s="127" t="s">
        <v>436</v>
      </c>
      <c r="M226" s="127"/>
      <c r="N226" s="127"/>
      <c r="O226" s="127"/>
      <c r="P226" s="127"/>
      <c r="Q226" s="127"/>
      <c r="R226" s="127"/>
      <c r="S226" s="127"/>
      <c r="T226" s="127"/>
      <c r="U226" s="117" t="s">
        <v>288</v>
      </c>
    </row>
    <row r="227" spans="1:21" s="121" customFormat="1" ht="10" customHeight="1" x14ac:dyDescent="0.35">
      <c r="A227" s="126" t="s">
        <v>453</v>
      </c>
      <c r="B227" s="117">
        <v>7</v>
      </c>
      <c r="C227" s="126"/>
      <c r="D227" s="116" t="s">
        <v>303</v>
      </c>
      <c r="E227" s="126" t="s">
        <v>707</v>
      </c>
      <c r="F227" s="126" t="s">
        <v>277</v>
      </c>
      <c r="G227" s="126"/>
      <c r="H227" s="127" t="s">
        <v>278</v>
      </c>
      <c r="I227" s="127" t="s">
        <v>573</v>
      </c>
      <c r="J227" s="127"/>
      <c r="K227" s="127" t="s">
        <v>280</v>
      </c>
      <c r="L227" s="127" t="s">
        <v>708</v>
      </c>
      <c r="M227" s="127"/>
      <c r="N227" s="127"/>
      <c r="O227" s="127"/>
      <c r="P227" s="127"/>
      <c r="Q227" s="127"/>
      <c r="R227" s="127"/>
      <c r="S227" s="127"/>
      <c r="T227" s="127"/>
      <c r="U227" s="117" t="s">
        <v>282</v>
      </c>
    </row>
    <row r="228" spans="1:21" s="121" customFormat="1" ht="10" customHeight="1" x14ac:dyDescent="0.35">
      <c r="A228" s="126" t="s">
        <v>453</v>
      </c>
      <c r="B228" s="117">
        <v>31</v>
      </c>
      <c r="C228" s="126"/>
      <c r="D228" s="116" t="s">
        <v>303</v>
      </c>
      <c r="E228" s="126" t="s">
        <v>709</v>
      </c>
      <c r="F228" s="126" t="s">
        <v>277</v>
      </c>
      <c r="G228" s="126"/>
      <c r="H228" s="127" t="s">
        <v>278</v>
      </c>
      <c r="I228" s="127" t="s">
        <v>573</v>
      </c>
      <c r="J228" s="127"/>
      <c r="K228" s="127" t="s">
        <v>280</v>
      </c>
      <c r="L228" s="127" t="s">
        <v>708</v>
      </c>
      <c r="M228" s="127"/>
      <c r="N228" s="127"/>
      <c r="O228" s="127"/>
      <c r="P228" s="127"/>
      <c r="Q228" s="127"/>
      <c r="R228" s="127"/>
      <c r="S228" s="127"/>
      <c r="T228" s="127"/>
      <c r="U228" s="117" t="s">
        <v>282</v>
      </c>
    </row>
    <row r="229" spans="1:21" s="121" customFormat="1" ht="10" customHeight="1" x14ac:dyDescent="0.35">
      <c r="A229" s="126" t="s">
        <v>453</v>
      </c>
      <c r="B229" s="117">
        <v>16</v>
      </c>
      <c r="C229" s="126"/>
      <c r="D229" s="116" t="s">
        <v>303</v>
      </c>
      <c r="E229" s="126" t="s">
        <v>710</v>
      </c>
      <c r="F229" s="126" t="s">
        <v>277</v>
      </c>
      <c r="G229" s="126"/>
      <c r="H229" s="127" t="s">
        <v>278</v>
      </c>
      <c r="I229" s="127" t="s">
        <v>573</v>
      </c>
      <c r="J229" s="127"/>
      <c r="K229" s="127" t="s">
        <v>280</v>
      </c>
      <c r="L229" s="127" t="s">
        <v>708</v>
      </c>
      <c r="M229" s="127"/>
      <c r="N229" s="127"/>
      <c r="O229" s="127"/>
      <c r="P229" s="127"/>
      <c r="Q229" s="127"/>
      <c r="R229" s="127"/>
      <c r="S229" s="127"/>
      <c r="T229" s="127"/>
      <c r="U229" s="117" t="s">
        <v>282</v>
      </c>
    </row>
    <row r="230" spans="1:21" s="121" customFormat="1" ht="10" customHeight="1" x14ac:dyDescent="0.35">
      <c r="A230" s="126" t="s">
        <v>453</v>
      </c>
      <c r="B230" s="117">
        <v>36</v>
      </c>
      <c r="C230" s="126"/>
      <c r="D230" s="116" t="s">
        <v>317</v>
      </c>
      <c r="E230" s="126" t="s">
        <v>711</v>
      </c>
      <c r="F230" s="126" t="s">
        <v>277</v>
      </c>
      <c r="G230" s="126"/>
      <c r="H230" s="127" t="s">
        <v>93</v>
      </c>
      <c r="I230" s="127" t="s">
        <v>93</v>
      </c>
      <c r="J230" s="127"/>
      <c r="K230" s="127" t="s">
        <v>280</v>
      </c>
      <c r="L230" s="127" t="s">
        <v>328</v>
      </c>
      <c r="M230" s="127"/>
      <c r="N230" s="127"/>
      <c r="O230" s="127"/>
      <c r="P230" s="127"/>
      <c r="Q230" s="127"/>
      <c r="R230" s="127"/>
      <c r="S230" s="127"/>
      <c r="T230" s="127"/>
      <c r="U230" s="117" t="s">
        <v>282</v>
      </c>
    </row>
    <row r="231" spans="1:21" s="121" customFormat="1" ht="10" customHeight="1" x14ac:dyDescent="0.35">
      <c r="A231" s="126" t="s">
        <v>453</v>
      </c>
      <c r="B231" s="117">
        <v>7</v>
      </c>
      <c r="C231" s="126"/>
      <c r="D231" s="116" t="s">
        <v>303</v>
      </c>
      <c r="E231" s="126" t="s">
        <v>712</v>
      </c>
      <c r="F231" s="126" t="s">
        <v>277</v>
      </c>
      <c r="G231" s="126"/>
      <c r="H231" s="127" t="s">
        <v>295</v>
      </c>
      <c r="I231" s="127" t="s">
        <v>305</v>
      </c>
      <c r="J231" s="127"/>
      <c r="K231" s="127" t="s">
        <v>280</v>
      </c>
      <c r="L231" s="127" t="s">
        <v>708</v>
      </c>
      <c r="M231" s="127"/>
      <c r="N231" s="127"/>
      <c r="O231" s="127"/>
      <c r="P231" s="127"/>
      <c r="Q231" s="127"/>
      <c r="R231" s="127"/>
      <c r="S231" s="127"/>
      <c r="T231" s="127"/>
      <c r="U231" s="117" t="s">
        <v>282</v>
      </c>
    </row>
    <row r="232" spans="1:21" s="121" customFormat="1" ht="10" customHeight="1" x14ac:dyDescent="0.35">
      <c r="A232" s="126" t="s">
        <v>646</v>
      </c>
      <c r="B232" s="117">
        <v>2</v>
      </c>
      <c r="C232" s="126"/>
      <c r="D232" s="116" t="s">
        <v>643</v>
      </c>
      <c r="E232" s="126" t="s">
        <v>713</v>
      </c>
      <c r="F232" s="126" t="s">
        <v>277</v>
      </c>
      <c r="G232" s="126"/>
      <c r="H232" s="127" t="s">
        <v>278</v>
      </c>
      <c r="I232" s="127" t="s">
        <v>714</v>
      </c>
      <c r="J232" s="127"/>
      <c r="K232" s="127" t="s">
        <v>280</v>
      </c>
      <c r="L232" s="127" t="s">
        <v>667</v>
      </c>
      <c r="M232" s="127"/>
      <c r="N232" s="127"/>
      <c r="O232" s="127"/>
      <c r="P232" s="127"/>
      <c r="Q232" s="127"/>
      <c r="R232" s="127"/>
      <c r="S232" s="127"/>
      <c r="T232" s="127"/>
      <c r="U232" s="117" t="s">
        <v>288</v>
      </c>
    </row>
    <row r="233" spans="1:21" s="121" customFormat="1" ht="10" customHeight="1" x14ac:dyDescent="0.35">
      <c r="A233" s="126" t="s">
        <v>359</v>
      </c>
      <c r="B233" s="117">
        <v>5</v>
      </c>
      <c r="C233" s="126"/>
      <c r="D233" s="116" t="s">
        <v>352</v>
      </c>
      <c r="E233" s="126" t="s">
        <v>715</v>
      </c>
      <c r="F233" s="126" t="s">
        <v>277</v>
      </c>
      <c r="G233" s="126"/>
      <c r="H233" s="127" t="s">
        <v>295</v>
      </c>
      <c r="I233" s="127" t="s">
        <v>279</v>
      </c>
      <c r="J233" s="127"/>
      <c r="K233" s="127" t="s">
        <v>280</v>
      </c>
      <c r="L233" s="127" t="s">
        <v>436</v>
      </c>
      <c r="M233" s="127"/>
      <c r="N233" s="127"/>
      <c r="O233" s="127"/>
      <c r="P233" s="127"/>
      <c r="Q233" s="127"/>
      <c r="R233" s="127"/>
      <c r="S233" s="127"/>
      <c r="T233" s="127"/>
      <c r="U233" s="117" t="s">
        <v>288</v>
      </c>
    </row>
    <row r="234" spans="1:21" s="121" customFormat="1" ht="10" customHeight="1" x14ac:dyDescent="0.35">
      <c r="A234" s="126" t="s">
        <v>646</v>
      </c>
      <c r="B234" s="117">
        <v>2</v>
      </c>
      <c r="C234" s="126"/>
      <c r="D234" s="116" t="s">
        <v>314</v>
      </c>
      <c r="E234" s="126" t="s">
        <v>716</v>
      </c>
      <c r="F234" s="126" t="s">
        <v>277</v>
      </c>
      <c r="G234" s="126"/>
      <c r="H234" s="127" t="s">
        <v>93</v>
      </c>
      <c r="I234" s="127" t="s">
        <v>93</v>
      </c>
      <c r="J234" s="127"/>
      <c r="K234" s="127" t="s">
        <v>280</v>
      </c>
      <c r="L234" s="127" t="s">
        <v>394</v>
      </c>
      <c r="M234" s="127"/>
      <c r="N234" s="127"/>
      <c r="O234" s="127"/>
      <c r="P234" s="127"/>
      <c r="Q234" s="127"/>
      <c r="R234" s="127"/>
      <c r="S234" s="127"/>
      <c r="T234" s="127"/>
      <c r="U234" s="117" t="s">
        <v>288</v>
      </c>
    </row>
    <row r="235" spans="1:21" s="121" customFormat="1" ht="10" customHeight="1" x14ac:dyDescent="0.35">
      <c r="A235" s="126" t="s">
        <v>646</v>
      </c>
      <c r="B235" s="117">
        <v>4</v>
      </c>
      <c r="C235" s="126"/>
      <c r="D235" s="116" t="s">
        <v>284</v>
      </c>
      <c r="E235" s="126" t="s">
        <v>717</v>
      </c>
      <c r="F235" s="126" t="s">
        <v>277</v>
      </c>
      <c r="G235" s="126"/>
      <c r="H235" s="127" t="s">
        <v>295</v>
      </c>
      <c r="I235" s="127" t="s">
        <v>279</v>
      </c>
      <c r="J235" s="127"/>
      <c r="K235" s="127" t="s">
        <v>280</v>
      </c>
      <c r="L235" s="127" t="s">
        <v>718</v>
      </c>
      <c r="M235" s="127"/>
      <c r="N235" s="127"/>
      <c r="O235" s="127"/>
      <c r="P235" s="127"/>
      <c r="Q235" s="127"/>
      <c r="R235" s="127"/>
      <c r="S235" s="127"/>
      <c r="T235" s="127"/>
      <c r="U235" s="117" t="s">
        <v>288</v>
      </c>
    </row>
    <row r="236" spans="1:21" s="121" customFormat="1" ht="10" customHeight="1" x14ac:dyDescent="0.35">
      <c r="A236" s="126" t="s">
        <v>646</v>
      </c>
      <c r="B236" s="117">
        <v>4</v>
      </c>
      <c r="C236" s="126"/>
      <c r="D236" s="116" t="s">
        <v>492</v>
      </c>
      <c r="E236" s="126" t="s">
        <v>719</v>
      </c>
      <c r="F236" s="126" t="s">
        <v>277</v>
      </c>
      <c r="G236" s="126"/>
      <c r="H236" s="127" t="s">
        <v>295</v>
      </c>
      <c r="I236" s="127" t="s">
        <v>279</v>
      </c>
      <c r="J236" s="127"/>
      <c r="K236" s="127" t="s">
        <v>280</v>
      </c>
      <c r="L236" s="127" t="s">
        <v>720</v>
      </c>
      <c r="M236" s="127"/>
      <c r="N236" s="127"/>
      <c r="O236" s="127"/>
      <c r="P236" s="127"/>
      <c r="Q236" s="127"/>
      <c r="R236" s="127"/>
      <c r="S236" s="127"/>
      <c r="T236" s="127"/>
      <c r="U236" s="117" t="s">
        <v>288</v>
      </c>
    </row>
    <row r="237" spans="1:21" s="121" customFormat="1" ht="10" customHeight="1" x14ac:dyDescent="0.35">
      <c r="A237" s="126" t="s">
        <v>646</v>
      </c>
      <c r="B237" s="117">
        <v>2</v>
      </c>
      <c r="C237" s="126"/>
      <c r="D237" s="116" t="s">
        <v>675</v>
      </c>
      <c r="E237" s="126" t="s">
        <v>721</v>
      </c>
      <c r="F237" s="126" t="s">
        <v>277</v>
      </c>
      <c r="G237" s="126"/>
      <c r="H237" s="127" t="s">
        <v>278</v>
      </c>
      <c r="I237" s="127" t="s">
        <v>279</v>
      </c>
      <c r="J237" s="127"/>
      <c r="K237" s="127" t="s">
        <v>280</v>
      </c>
      <c r="L237" s="127" t="s">
        <v>657</v>
      </c>
      <c r="M237" s="127"/>
      <c r="N237" s="127"/>
      <c r="O237" s="127"/>
      <c r="P237" s="127"/>
      <c r="Q237" s="127"/>
      <c r="R237" s="127"/>
      <c r="S237" s="127"/>
      <c r="T237" s="127"/>
      <c r="U237" s="117" t="s">
        <v>288</v>
      </c>
    </row>
    <row r="238" spans="1:21" s="121" customFormat="1" ht="10" customHeight="1" x14ac:dyDescent="0.35">
      <c r="A238" s="126" t="s">
        <v>646</v>
      </c>
      <c r="B238" s="117">
        <v>2</v>
      </c>
      <c r="C238" s="126"/>
      <c r="D238" s="116" t="s">
        <v>677</v>
      </c>
      <c r="E238" s="126" t="s">
        <v>722</v>
      </c>
      <c r="F238" s="126" t="s">
        <v>277</v>
      </c>
      <c r="G238" s="126"/>
      <c r="H238" s="127" t="s">
        <v>278</v>
      </c>
      <c r="I238" s="127" t="s">
        <v>279</v>
      </c>
      <c r="J238" s="127"/>
      <c r="K238" s="127" t="s">
        <v>280</v>
      </c>
      <c r="L238" s="127" t="s">
        <v>657</v>
      </c>
      <c r="M238" s="127"/>
      <c r="N238" s="127"/>
      <c r="O238" s="127"/>
      <c r="P238" s="127"/>
      <c r="Q238" s="127"/>
      <c r="R238" s="127"/>
      <c r="S238" s="127"/>
      <c r="T238" s="127"/>
      <c r="U238" s="117" t="s">
        <v>288</v>
      </c>
    </row>
    <row r="239" spans="1:21" s="121" customFormat="1" ht="10" customHeight="1" x14ac:dyDescent="0.35">
      <c r="A239" s="126" t="s">
        <v>646</v>
      </c>
      <c r="B239" s="117">
        <v>4</v>
      </c>
      <c r="C239" s="126"/>
      <c r="D239" s="116" t="s">
        <v>723</v>
      </c>
      <c r="E239" s="126" t="s">
        <v>724</v>
      </c>
      <c r="F239" s="126" t="s">
        <v>277</v>
      </c>
      <c r="G239" s="126"/>
      <c r="H239" s="127" t="s">
        <v>278</v>
      </c>
      <c r="I239" s="127" t="s">
        <v>279</v>
      </c>
      <c r="J239" s="127"/>
      <c r="K239" s="127" t="s">
        <v>280</v>
      </c>
      <c r="L239" s="127" t="s">
        <v>725</v>
      </c>
      <c r="M239" s="127"/>
      <c r="N239" s="127"/>
      <c r="O239" s="127"/>
      <c r="P239" s="127"/>
      <c r="Q239" s="127"/>
      <c r="R239" s="127"/>
      <c r="S239" s="127"/>
      <c r="T239" s="127"/>
      <c r="U239" s="117" t="s">
        <v>288</v>
      </c>
    </row>
    <row r="240" spans="1:21" s="121" customFormat="1" ht="10" customHeight="1" x14ac:dyDescent="0.35">
      <c r="A240" s="126" t="s">
        <v>646</v>
      </c>
      <c r="B240" s="117">
        <v>4</v>
      </c>
      <c r="C240" s="126"/>
      <c r="D240" s="116" t="s">
        <v>455</v>
      </c>
      <c r="E240" s="126" t="s">
        <v>726</v>
      </c>
      <c r="F240" s="126" t="s">
        <v>277</v>
      </c>
      <c r="G240" s="126"/>
      <c r="H240" s="127" t="s">
        <v>295</v>
      </c>
      <c r="I240" s="127" t="s">
        <v>279</v>
      </c>
      <c r="J240" s="127"/>
      <c r="K240" s="127" t="s">
        <v>280</v>
      </c>
      <c r="L240" s="127" t="s">
        <v>657</v>
      </c>
      <c r="M240" s="127"/>
      <c r="N240" s="127"/>
      <c r="O240" s="127"/>
      <c r="P240" s="127"/>
      <c r="Q240" s="127"/>
      <c r="R240" s="127"/>
      <c r="S240" s="127"/>
      <c r="T240" s="127"/>
      <c r="U240" s="117" t="s">
        <v>288</v>
      </c>
    </row>
    <row r="241" spans="1:21" s="121" customFormat="1" ht="10" customHeight="1" x14ac:dyDescent="0.35">
      <c r="A241" s="126" t="s">
        <v>646</v>
      </c>
      <c r="B241" s="117">
        <v>4</v>
      </c>
      <c r="C241" s="126"/>
      <c r="D241" s="116" t="s">
        <v>669</v>
      </c>
      <c r="E241" s="126" t="s">
        <v>727</v>
      </c>
      <c r="F241" s="126" t="s">
        <v>277</v>
      </c>
      <c r="G241" s="126"/>
      <c r="H241" s="127" t="s">
        <v>295</v>
      </c>
      <c r="I241" s="127" t="s">
        <v>279</v>
      </c>
      <c r="J241" s="127"/>
      <c r="K241" s="127" t="s">
        <v>280</v>
      </c>
      <c r="L241" s="127" t="s">
        <v>720</v>
      </c>
      <c r="M241" s="127"/>
      <c r="N241" s="127"/>
      <c r="O241" s="127"/>
      <c r="P241" s="127"/>
      <c r="Q241" s="127"/>
      <c r="R241" s="127"/>
      <c r="S241" s="127"/>
      <c r="T241" s="127"/>
      <c r="U241" s="117" t="s">
        <v>288</v>
      </c>
    </row>
    <row r="242" spans="1:21" s="121" customFormat="1" ht="10" customHeight="1" x14ac:dyDescent="0.35">
      <c r="A242" s="126" t="s">
        <v>646</v>
      </c>
      <c r="B242" s="117">
        <v>4</v>
      </c>
      <c r="C242" s="126"/>
      <c r="D242" s="116" t="s">
        <v>485</v>
      </c>
      <c r="E242" s="126" t="s">
        <v>728</v>
      </c>
      <c r="F242" s="126" t="s">
        <v>277</v>
      </c>
      <c r="G242" s="126"/>
      <c r="H242" s="127" t="s">
        <v>295</v>
      </c>
      <c r="I242" s="127" t="s">
        <v>729</v>
      </c>
      <c r="J242" s="127"/>
      <c r="K242" s="127" t="s">
        <v>280</v>
      </c>
      <c r="L242" s="127" t="s">
        <v>439</v>
      </c>
      <c r="M242" s="127"/>
      <c r="N242" s="127"/>
      <c r="O242" s="127"/>
      <c r="P242" s="127"/>
      <c r="Q242" s="127"/>
      <c r="R242" s="127"/>
      <c r="S242" s="127"/>
      <c r="T242" s="127"/>
      <c r="U242" s="117" t="s">
        <v>288</v>
      </c>
    </row>
    <row r="243" spans="1:21" s="121" customFormat="1" ht="10" customHeight="1" x14ac:dyDescent="0.35">
      <c r="A243" s="126" t="s">
        <v>646</v>
      </c>
      <c r="B243" s="117">
        <v>2</v>
      </c>
      <c r="C243" s="126"/>
      <c r="D243" s="116" t="s">
        <v>730</v>
      </c>
      <c r="E243" s="126" t="s">
        <v>731</v>
      </c>
      <c r="F243" s="126" t="s">
        <v>277</v>
      </c>
      <c r="G243" s="126"/>
      <c r="H243" s="127" t="s">
        <v>278</v>
      </c>
      <c r="I243" s="127" t="s">
        <v>279</v>
      </c>
      <c r="J243" s="127"/>
      <c r="K243" s="127" t="s">
        <v>280</v>
      </c>
      <c r="L243" s="127" t="s">
        <v>725</v>
      </c>
      <c r="M243" s="127"/>
      <c r="N243" s="127"/>
      <c r="O243" s="127"/>
      <c r="P243" s="127"/>
      <c r="Q243" s="127"/>
      <c r="R243" s="127"/>
      <c r="S243" s="127"/>
      <c r="T243" s="127"/>
      <c r="U243" s="117" t="s">
        <v>288</v>
      </c>
    </row>
    <row r="244" spans="1:21" s="121" customFormat="1" ht="10" customHeight="1" x14ac:dyDescent="0.35">
      <c r="A244" s="126" t="s">
        <v>646</v>
      </c>
      <c r="B244" s="117">
        <v>2</v>
      </c>
      <c r="C244" s="126"/>
      <c r="D244" s="116" t="s">
        <v>518</v>
      </c>
      <c r="E244" s="126" t="s">
        <v>732</v>
      </c>
      <c r="F244" s="126" t="s">
        <v>277</v>
      </c>
      <c r="G244" s="126"/>
      <c r="H244" s="127" t="s">
        <v>278</v>
      </c>
      <c r="I244" s="127" t="s">
        <v>279</v>
      </c>
      <c r="J244" s="127"/>
      <c r="K244" s="127" t="s">
        <v>280</v>
      </c>
      <c r="L244" s="127" t="s">
        <v>720</v>
      </c>
      <c r="M244" s="127"/>
      <c r="N244" s="127"/>
      <c r="O244" s="127"/>
      <c r="P244" s="127"/>
      <c r="Q244" s="127"/>
      <c r="R244" s="127"/>
      <c r="S244" s="127"/>
      <c r="T244" s="127"/>
      <c r="U244" s="117" t="s">
        <v>288</v>
      </c>
    </row>
    <row r="245" spans="1:21" s="121" customFormat="1" ht="10" customHeight="1" x14ac:dyDescent="0.35">
      <c r="A245" s="126" t="s">
        <v>646</v>
      </c>
      <c r="B245" s="117">
        <v>2</v>
      </c>
      <c r="C245" s="126"/>
      <c r="D245" s="116" t="s">
        <v>702</v>
      </c>
      <c r="E245" s="126" t="s">
        <v>733</v>
      </c>
      <c r="F245" s="126" t="s">
        <v>277</v>
      </c>
      <c r="G245" s="126"/>
      <c r="H245" s="127" t="s">
        <v>295</v>
      </c>
      <c r="I245" s="127" t="s">
        <v>279</v>
      </c>
      <c r="J245" s="127"/>
      <c r="K245" s="127" t="s">
        <v>280</v>
      </c>
      <c r="L245" s="127" t="s">
        <v>720</v>
      </c>
      <c r="M245" s="127"/>
      <c r="N245" s="127"/>
      <c r="O245" s="127"/>
      <c r="P245" s="127"/>
      <c r="Q245" s="127"/>
      <c r="R245" s="127"/>
      <c r="S245" s="127"/>
      <c r="T245" s="127"/>
      <c r="U245" s="117" t="s">
        <v>288</v>
      </c>
    </row>
    <row r="246" spans="1:21" s="121" customFormat="1" ht="10" customHeight="1" x14ac:dyDescent="0.35">
      <c r="A246" s="126" t="s">
        <v>646</v>
      </c>
      <c r="B246" s="117">
        <v>2</v>
      </c>
      <c r="C246" s="126"/>
      <c r="D246" s="116" t="s">
        <v>457</v>
      </c>
      <c r="E246" s="126" t="s">
        <v>734</v>
      </c>
      <c r="F246" s="126" t="s">
        <v>277</v>
      </c>
      <c r="G246" s="126"/>
      <c r="H246" s="127" t="s">
        <v>295</v>
      </c>
      <c r="I246" s="127" t="s">
        <v>279</v>
      </c>
      <c r="J246" s="127"/>
      <c r="K246" s="127" t="s">
        <v>280</v>
      </c>
      <c r="L246" s="127" t="s">
        <v>725</v>
      </c>
      <c r="M246" s="127"/>
      <c r="N246" s="127"/>
      <c r="O246" s="127"/>
      <c r="P246" s="127"/>
      <c r="Q246" s="127"/>
      <c r="R246" s="127"/>
      <c r="S246" s="127"/>
      <c r="T246" s="127"/>
      <c r="U246" s="117" t="s">
        <v>288</v>
      </c>
    </row>
    <row r="247" spans="1:21" s="121" customFormat="1" ht="10" customHeight="1" x14ac:dyDescent="0.35">
      <c r="A247" s="126" t="s">
        <v>646</v>
      </c>
      <c r="B247" s="117">
        <v>2</v>
      </c>
      <c r="C247" s="126"/>
      <c r="D247" s="116" t="s">
        <v>498</v>
      </c>
      <c r="E247" s="126" t="s">
        <v>735</v>
      </c>
      <c r="F247" s="126" t="s">
        <v>277</v>
      </c>
      <c r="G247" s="126"/>
      <c r="H247" s="127" t="s">
        <v>295</v>
      </c>
      <c r="I247" s="127" t="s">
        <v>279</v>
      </c>
      <c r="J247" s="127"/>
      <c r="K247" s="127" t="s">
        <v>280</v>
      </c>
      <c r="L247" s="127" t="s">
        <v>720</v>
      </c>
      <c r="M247" s="127"/>
      <c r="N247" s="127"/>
      <c r="O247" s="127"/>
      <c r="P247" s="127"/>
      <c r="Q247" s="127"/>
      <c r="R247" s="127"/>
      <c r="S247" s="127"/>
      <c r="T247" s="127"/>
      <c r="U247" s="117" t="s">
        <v>288</v>
      </c>
    </row>
    <row r="248" spans="1:21" s="121" customFormat="1" ht="10" customHeight="1" x14ac:dyDescent="0.35">
      <c r="A248" s="126" t="s">
        <v>646</v>
      </c>
      <c r="B248" s="117">
        <v>2</v>
      </c>
      <c r="C248" s="126"/>
      <c r="D248" s="116" t="s">
        <v>500</v>
      </c>
      <c r="E248" s="126" t="s">
        <v>736</v>
      </c>
      <c r="F248" s="126" t="s">
        <v>277</v>
      </c>
      <c r="G248" s="126"/>
      <c r="H248" s="127" t="s">
        <v>278</v>
      </c>
      <c r="I248" s="127" t="s">
        <v>279</v>
      </c>
      <c r="J248" s="127"/>
      <c r="K248" s="127" t="s">
        <v>280</v>
      </c>
      <c r="L248" s="127" t="s">
        <v>720</v>
      </c>
      <c r="M248" s="127"/>
      <c r="N248" s="127"/>
      <c r="O248" s="127"/>
      <c r="P248" s="127"/>
      <c r="Q248" s="127"/>
      <c r="R248" s="127"/>
      <c r="S248" s="127"/>
      <c r="T248" s="127"/>
      <c r="U248" s="117" t="s">
        <v>288</v>
      </c>
    </row>
    <row r="249" spans="1:21" s="121" customFormat="1" ht="10" customHeight="1" x14ac:dyDescent="0.35">
      <c r="A249" s="126" t="s">
        <v>646</v>
      </c>
      <c r="B249" s="117">
        <v>1</v>
      </c>
      <c r="C249" s="126"/>
      <c r="D249" s="116" t="s">
        <v>737</v>
      </c>
      <c r="E249" s="126" t="s">
        <v>738</v>
      </c>
      <c r="F249" s="126" t="s">
        <v>277</v>
      </c>
      <c r="G249" s="126"/>
      <c r="H249" s="127" t="s">
        <v>295</v>
      </c>
      <c r="I249" s="127" t="s">
        <v>305</v>
      </c>
      <c r="J249" s="127"/>
      <c r="K249" s="127" t="s">
        <v>280</v>
      </c>
      <c r="L249" s="127" t="s">
        <v>316</v>
      </c>
      <c r="M249" s="127"/>
      <c r="N249" s="127"/>
      <c r="O249" s="127"/>
      <c r="P249" s="127"/>
      <c r="Q249" s="127"/>
      <c r="R249" s="127"/>
      <c r="S249" s="127"/>
      <c r="T249" s="127"/>
      <c r="U249" s="117" t="s">
        <v>288</v>
      </c>
    </row>
    <row r="250" spans="1:21" s="121" customFormat="1" ht="10" customHeight="1" x14ac:dyDescent="0.35">
      <c r="A250" s="126" t="s">
        <v>646</v>
      </c>
      <c r="B250" s="117">
        <v>2</v>
      </c>
      <c r="C250" s="126"/>
      <c r="D250" s="116" t="s">
        <v>522</v>
      </c>
      <c r="E250" s="126" t="s">
        <v>739</v>
      </c>
      <c r="F250" s="126" t="s">
        <v>277</v>
      </c>
      <c r="G250" s="126"/>
      <c r="H250" s="127" t="s">
        <v>278</v>
      </c>
      <c r="I250" s="127" t="s">
        <v>279</v>
      </c>
      <c r="J250" s="127"/>
      <c r="K250" s="127" t="s">
        <v>280</v>
      </c>
      <c r="L250" s="127" t="s">
        <v>720</v>
      </c>
      <c r="M250" s="127"/>
      <c r="N250" s="127"/>
      <c r="O250" s="127"/>
      <c r="P250" s="127"/>
      <c r="Q250" s="127"/>
      <c r="R250" s="127"/>
      <c r="S250" s="127"/>
      <c r="T250" s="127"/>
      <c r="U250" s="117" t="s">
        <v>288</v>
      </c>
    </row>
    <row r="251" spans="1:21" s="121" customFormat="1" ht="10" customHeight="1" x14ac:dyDescent="0.35">
      <c r="A251" s="126" t="s">
        <v>646</v>
      </c>
      <c r="B251" s="117">
        <v>2</v>
      </c>
      <c r="C251" s="126"/>
      <c r="D251" s="116" t="s">
        <v>516</v>
      </c>
      <c r="E251" s="126" t="s">
        <v>740</v>
      </c>
      <c r="F251" s="126" t="s">
        <v>277</v>
      </c>
      <c r="G251" s="126"/>
      <c r="H251" s="127" t="s">
        <v>278</v>
      </c>
      <c r="I251" s="127" t="s">
        <v>279</v>
      </c>
      <c r="J251" s="127"/>
      <c r="K251" s="127" t="s">
        <v>280</v>
      </c>
      <c r="L251" s="127" t="s">
        <v>720</v>
      </c>
      <c r="M251" s="127"/>
      <c r="N251" s="127"/>
      <c r="O251" s="127"/>
      <c r="P251" s="127"/>
      <c r="Q251" s="127"/>
      <c r="R251" s="127"/>
      <c r="S251" s="127"/>
      <c r="T251" s="127"/>
      <c r="U251" s="117" t="s">
        <v>288</v>
      </c>
    </row>
    <row r="252" spans="1:21" s="121" customFormat="1" ht="10" customHeight="1" x14ac:dyDescent="0.35">
      <c r="A252" s="126" t="s">
        <v>646</v>
      </c>
      <c r="B252" s="117">
        <v>8</v>
      </c>
      <c r="C252" s="126"/>
      <c r="D252" s="116" t="s">
        <v>514</v>
      </c>
      <c r="E252" s="126" t="s">
        <v>741</v>
      </c>
      <c r="F252" s="126" t="s">
        <v>277</v>
      </c>
      <c r="G252" s="126"/>
      <c r="H252" s="127" t="s">
        <v>278</v>
      </c>
      <c r="I252" s="127" t="s">
        <v>279</v>
      </c>
      <c r="J252" s="127"/>
      <c r="K252" s="127" t="s">
        <v>280</v>
      </c>
      <c r="L252" s="127" t="s">
        <v>725</v>
      </c>
      <c r="M252" s="127"/>
      <c r="N252" s="127"/>
      <c r="O252" s="127"/>
      <c r="P252" s="127"/>
      <c r="Q252" s="127"/>
      <c r="R252" s="127"/>
      <c r="S252" s="127"/>
      <c r="T252" s="127"/>
      <c r="U252" s="117" t="s">
        <v>288</v>
      </c>
    </row>
    <row r="253" spans="1:21" s="121" customFormat="1" ht="10" customHeight="1" x14ac:dyDescent="0.35">
      <c r="A253" s="126" t="s">
        <v>646</v>
      </c>
      <c r="B253" s="117">
        <v>2</v>
      </c>
      <c r="C253" s="126"/>
      <c r="D253" s="116" t="s">
        <v>742</v>
      </c>
      <c r="E253" s="126" t="s">
        <v>743</v>
      </c>
      <c r="F253" s="126" t="s">
        <v>277</v>
      </c>
      <c r="G253" s="126"/>
      <c r="H253" s="127" t="s">
        <v>93</v>
      </c>
      <c r="I253" s="127" t="s">
        <v>93</v>
      </c>
      <c r="J253" s="127"/>
      <c r="K253" s="127" t="s">
        <v>280</v>
      </c>
      <c r="L253" s="127" t="s">
        <v>394</v>
      </c>
      <c r="M253" s="127"/>
      <c r="N253" s="127"/>
      <c r="O253" s="127"/>
      <c r="P253" s="127"/>
      <c r="Q253" s="127"/>
      <c r="R253" s="127"/>
      <c r="S253" s="127"/>
      <c r="T253" s="127"/>
      <c r="U253" s="117" t="s">
        <v>288</v>
      </c>
    </row>
    <row r="254" spans="1:21" s="121" customFormat="1" ht="10" customHeight="1" x14ac:dyDescent="0.35">
      <c r="A254" s="126" t="s">
        <v>646</v>
      </c>
      <c r="B254" s="117">
        <v>2</v>
      </c>
      <c r="C254" s="126"/>
      <c r="D254" s="116" t="s">
        <v>744</v>
      </c>
      <c r="E254" s="126" t="s">
        <v>745</v>
      </c>
      <c r="F254" s="126" t="s">
        <v>277</v>
      </c>
      <c r="G254" s="126"/>
      <c r="H254" s="127" t="s">
        <v>295</v>
      </c>
      <c r="I254" s="127" t="s">
        <v>279</v>
      </c>
      <c r="J254" s="127"/>
      <c r="K254" s="127" t="s">
        <v>280</v>
      </c>
      <c r="L254" s="127" t="s">
        <v>720</v>
      </c>
      <c r="M254" s="127"/>
      <c r="N254" s="127"/>
      <c r="O254" s="127"/>
      <c r="P254" s="127"/>
      <c r="Q254" s="127"/>
      <c r="R254" s="127"/>
      <c r="S254" s="127"/>
      <c r="T254" s="127"/>
      <c r="U254" s="117" t="s">
        <v>288</v>
      </c>
    </row>
    <row r="255" spans="1:21" s="121" customFormat="1" ht="10" customHeight="1" x14ac:dyDescent="0.35">
      <c r="A255" s="126" t="s">
        <v>646</v>
      </c>
      <c r="B255" s="117">
        <v>7</v>
      </c>
      <c r="C255" s="126"/>
      <c r="D255" s="116" t="s">
        <v>303</v>
      </c>
      <c r="E255" s="126" t="s">
        <v>746</v>
      </c>
      <c r="F255" s="126" t="s">
        <v>277</v>
      </c>
      <c r="G255" s="126"/>
      <c r="H255" s="127" t="s">
        <v>278</v>
      </c>
      <c r="I255" s="127" t="s">
        <v>573</v>
      </c>
      <c r="J255" s="127"/>
      <c r="K255" s="127" t="s">
        <v>280</v>
      </c>
      <c r="L255" s="127" t="s">
        <v>708</v>
      </c>
      <c r="M255" s="127"/>
      <c r="N255" s="127"/>
      <c r="O255" s="127"/>
      <c r="P255" s="127"/>
      <c r="Q255" s="127"/>
      <c r="R255" s="127"/>
      <c r="S255" s="127"/>
      <c r="T255" s="127"/>
      <c r="U255" s="117" t="s">
        <v>282</v>
      </c>
    </row>
    <row r="256" spans="1:21" s="121" customFormat="1" ht="10" customHeight="1" x14ac:dyDescent="0.35">
      <c r="A256" s="126" t="s">
        <v>646</v>
      </c>
      <c r="B256" s="117">
        <v>150</v>
      </c>
      <c r="C256" s="126"/>
      <c r="D256" s="116" t="s">
        <v>244</v>
      </c>
      <c r="E256" s="126" t="s">
        <v>747</v>
      </c>
      <c r="F256" s="126" t="s">
        <v>277</v>
      </c>
      <c r="G256" s="126"/>
      <c r="H256" s="127" t="s">
        <v>93</v>
      </c>
      <c r="I256" s="127" t="s">
        <v>279</v>
      </c>
      <c r="J256" s="127"/>
      <c r="K256" s="127" t="s">
        <v>280</v>
      </c>
      <c r="L256" s="127" t="s">
        <v>436</v>
      </c>
      <c r="M256" s="127"/>
      <c r="N256" s="127"/>
      <c r="O256" s="127"/>
      <c r="P256" s="127"/>
      <c r="Q256" s="127"/>
      <c r="R256" s="127"/>
      <c r="S256" s="127"/>
      <c r="T256" s="127"/>
      <c r="U256" s="117" t="s">
        <v>288</v>
      </c>
    </row>
    <row r="257" spans="1:21" s="121" customFormat="1" ht="10" customHeight="1" x14ac:dyDescent="0.35">
      <c r="A257" s="126" t="s">
        <v>646</v>
      </c>
      <c r="B257" s="117">
        <v>34</v>
      </c>
      <c r="C257" s="126"/>
      <c r="D257" s="116" t="s">
        <v>317</v>
      </c>
      <c r="E257" s="126" t="s">
        <v>748</v>
      </c>
      <c r="F257" s="126" t="s">
        <v>277</v>
      </c>
      <c r="G257" s="126"/>
      <c r="H257" s="127" t="s">
        <v>93</v>
      </c>
      <c r="I257" s="127" t="s">
        <v>93</v>
      </c>
      <c r="J257" s="127"/>
      <c r="K257" s="127" t="s">
        <v>280</v>
      </c>
      <c r="L257" s="127" t="s">
        <v>394</v>
      </c>
      <c r="M257" s="127"/>
      <c r="N257" s="127"/>
      <c r="O257" s="127"/>
      <c r="P257" s="127"/>
      <c r="Q257" s="127"/>
      <c r="R257" s="127"/>
      <c r="S257" s="127"/>
      <c r="T257" s="127"/>
      <c r="U257" s="117" t="s">
        <v>282</v>
      </c>
    </row>
    <row r="258" spans="1:21" s="121" customFormat="1" ht="10" customHeight="1" x14ac:dyDescent="0.35">
      <c r="A258" s="126" t="s">
        <v>646</v>
      </c>
      <c r="B258" s="117">
        <v>1</v>
      </c>
      <c r="C258" s="126"/>
      <c r="D258" s="116" t="s">
        <v>737</v>
      </c>
      <c r="E258" s="126" t="s">
        <v>749</v>
      </c>
      <c r="F258" s="126" t="s">
        <v>277</v>
      </c>
      <c r="G258" s="126"/>
      <c r="H258" s="127" t="s">
        <v>278</v>
      </c>
      <c r="I258" s="127" t="s">
        <v>573</v>
      </c>
      <c r="J258" s="127"/>
      <c r="K258" s="127" t="s">
        <v>280</v>
      </c>
      <c r="L258" s="127" t="s">
        <v>316</v>
      </c>
      <c r="M258" s="127"/>
      <c r="N258" s="127"/>
      <c r="O258" s="127"/>
      <c r="P258" s="127"/>
      <c r="Q258" s="127"/>
      <c r="R258" s="127"/>
      <c r="S258" s="127"/>
      <c r="T258" s="127"/>
      <c r="U258" s="117" t="s">
        <v>282</v>
      </c>
    </row>
    <row r="259" spans="1:21" s="121" customFormat="1" ht="10" customHeight="1" x14ac:dyDescent="0.35">
      <c r="A259" s="126" t="s">
        <v>646</v>
      </c>
      <c r="B259" s="117">
        <v>2</v>
      </c>
      <c r="C259" s="126"/>
      <c r="D259" s="116" t="s">
        <v>284</v>
      </c>
      <c r="E259" s="126" t="s">
        <v>750</v>
      </c>
      <c r="F259" s="126" t="s">
        <v>277</v>
      </c>
      <c r="G259" s="126"/>
      <c r="H259" s="127" t="s">
        <v>93</v>
      </c>
      <c r="I259" s="127" t="s">
        <v>751</v>
      </c>
      <c r="J259" s="127"/>
      <c r="K259" s="127" t="s">
        <v>280</v>
      </c>
      <c r="L259" s="127" t="s">
        <v>484</v>
      </c>
      <c r="M259" s="127"/>
      <c r="N259" s="127"/>
      <c r="O259" s="127"/>
      <c r="P259" s="127"/>
      <c r="Q259" s="127"/>
      <c r="R259" s="127"/>
      <c r="S259" s="127"/>
      <c r="T259" s="127"/>
      <c r="U259" s="117" t="s">
        <v>282</v>
      </c>
    </row>
    <row r="260" spans="1:21" s="121" customFormat="1" ht="10" customHeight="1" x14ac:dyDescent="0.35">
      <c r="A260" s="126" t="s">
        <v>752</v>
      </c>
      <c r="B260" s="117">
        <v>2</v>
      </c>
      <c r="C260" s="126"/>
      <c r="D260" s="116" t="s">
        <v>543</v>
      </c>
      <c r="E260" s="126" t="s">
        <v>753</v>
      </c>
      <c r="F260" s="126" t="s">
        <v>277</v>
      </c>
      <c r="G260" s="126"/>
      <c r="H260" s="127" t="s">
        <v>295</v>
      </c>
      <c r="I260" s="127" t="s">
        <v>279</v>
      </c>
      <c r="J260" s="127"/>
      <c r="K260" s="127" t="s">
        <v>280</v>
      </c>
      <c r="L260" s="127" t="s">
        <v>657</v>
      </c>
      <c r="M260" s="127"/>
      <c r="N260" s="127"/>
      <c r="O260" s="127"/>
      <c r="P260" s="127"/>
      <c r="Q260" s="127"/>
      <c r="R260" s="127"/>
      <c r="S260" s="127"/>
      <c r="T260" s="127"/>
      <c r="U260" s="117" t="s">
        <v>288</v>
      </c>
    </row>
    <row r="261" spans="1:21" s="121" customFormat="1" ht="10" customHeight="1" x14ac:dyDescent="0.35">
      <c r="A261" s="126" t="s">
        <v>752</v>
      </c>
      <c r="B261" s="117">
        <v>3</v>
      </c>
      <c r="C261" s="126"/>
      <c r="D261" s="116" t="s">
        <v>754</v>
      </c>
      <c r="E261" s="126" t="s">
        <v>755</v>
      </c>
      <c r="F261" s="126" t="s">
        <v>277</v>
      </c>
      <c r="G261" s="126"/>
      <c r="H261" s="127" t="s">
        <v>295</v>
      </c>
      <c r="I261" s="127" t="s">
        <v>279</v>
      </c>
      <c r="J261" s="127"/>
      <c r="K261" s="127" t="s">
        <v>280</v>
      </c>
      <c r="L261" s="127" t="s">
        <v>657</v>
      </c>
      <c r="M261" s="127"/>
      <c r="N261" s="127"/>
      <c r="O261" s="127"/>
      <c r="P261" s="127"/>
      <c r="Q261" s="127"/>
      <c r="R261" s="127"/>
      <c r="S261" s="127"/>
      <c r="T261" s="127"/>
      <c r="U261" s="117" t="s">
        <v>288</v>
      </c>
    </row>
    <row r="262" spans="1:21" s="121" customFormat="1" ht="10" customHeight="1" x14ac:dyDescent="0.35">
      <c r="A262" s="126" t="s">
        <v>752</v>
      </c>
      <c r="B262" s="117">
        <v>2</v>
      </c>
      <c r="C262" s="126"/>
      <c r="D262" s="116" t="s">
        <v>477</v>
      </c>
      <c r="E262" s="126" t="s">
        <v>756</v>
      </c>
      <c r="F262" s="126" t="s">
        <v>277</v>
      </c>
      <c r="G262" s="126"/>
      <c r="H262" s="127" t="s">
        <v>295</v>
      </c>
      <c r="I262" s="127" t="s">
        <v>279</v>
      </c>
      <c r="J262" s="127"/>
      <c r="K262" s="127" t="s">
        <v>280</v>
      </c>
      <c r="L262" s="127" t="s">
        <v>657</v>
      </c>
      <c r="M262" s="127"/>
      <c r="N262" s="127"/>
      <c r="O262" s="127"/>
      <c r="P262" s="127"/>
      <c r="Q262" s="127"/>
      <c r="R262" s="127"/>
      <c r="S262" s="127"/>
      <c r="T262" s="127"/>
      <c r="U262" s="117" t="s">
        <v>288</v>
      </c>
    </row>
    <row r="263" spans="1:21" s="121" customFormat="1" ht="10" customHeight="1" x14ac:dyDescent="0.35">
      <c r="A263" s="126" t="s">
        <v>757</v>
      </c>
      <c r="B263" s="117">
        <v>10</v>
      </c>
      <c r="C263" s="126"/>
      <c r="D263" s="116" t="s">
        <v>303</v>
      </c>
      <c r="E263" s="126" t="s">
        <v>758</v>
      </c>
      <c r="F263" s="126" t="s">
        <v>277</v>
      </c>
      <c r="G263" s="126"/>
      <c r="H263" s="127" t="s">
        <v>278</v>
      </c>
      <c r="I263" s="127" t="s">
        <v>573</v>
      </c>
      <c r="J263" s="127"/>
      <c r="K263" s="127" t="s">
        <v>280</v>
      </c>
      <c r="L263" s="127" t="s">
        <v>708</v>
      </c>
      <c r="M263" s="127"/>
      <c r="N263" s="127"/>
      <c r="O263" s="127"/>
      <c r="P263" s="127"/>
      <c r="Q263" s="127"/>
      <c r="R263" s="127"/>
      <c r="S263" s="127"/>
      <c r="T263" s="127"/>
      <c r="U263" s="117" t="s">
        <v>282</v>
      </c>
    </row>
    <row r="264" spans="1:21" s="121" customFormat="1" ht="10" customHeight="1" x14ac:dyDescent="0.35">
      <c r="A264" s="126" t="s">
        <v>752</v>
      </c>
      <c r="B264" s="117">
        <v>3</v>
      </c>
      <c r="C264" s="126"/>
      <c r="D264" s="116" t="s">
        <v>303</v>
      </c>
      <c r="E264" s="126" t="s">
        <v>759</v>
      </c>
      <c r="F264" s="126" t="s">
        <v>277</v>
      </c>
      <c r="G264" s="126"/>
      <c r="H264" s="127" t="s">
        <v>278</v>
      </c>
      <c r="I264" s="127" t="s">
        <v>573</v>
      </c>
      <c r="J264" s="127"/>
      <c r="K264" s="127" t="s">
        <v>280</v>
      </c>
      <c r="L264" s="127" t="s">
        <v>708</v>
      </c>
      <c r="M264" s="127"/>
      <c r="N264" s="127"/>
      <c r="O264" s="127"/>
      <c r="P264" s="127"/>
      <c r="Q264" s="127"/>
      <c r="R264" s="127"/>
      <c r="S264" s="127"/>
      <c r="T264" s="127"/>
      <c r="U264" s="117" t="s">
        <v>282</v>
      </c>
    </row>
    <row r="265" spans="1:21" s="121" customFormat="1" ht="10" customHeight="1" x14ac:dyDescent="0.35">
      <c r="A265" s="126" t="s">
        <v>752</v>
      </c>
      <c r="B265" s="117">
        <v>3</v>
      </c>
      <c r="C265" s="126"/>
      <c r="D265" s="116" t="s">
        <v>303</v>
      </c>
      <c r="E265" s="126" t="s">
        <v>760</v>
      </c>
      <c r="F265" s="126" t="s">
        <v>277</v>
      </c>
      <c r="G265" s="126"/>
      <c r="H265" s="127" t="s">
        <v>278</v>
      </c>
      <c r="I265" s="127" t="s">
        <v>573</v>
      </c>
      <c r="J265" s="127"/>
      <c r="K265" s="127" t="s">
        <v>280</v>
      </c>
      <c r="L265" s="127" t="s">
        <v>708</v>
      </c>
      <c r="M265" s="127"/>
      <c r="N265" s="127"/>
      <c r="O265" s="127"/>
      <c r="P265" s="127"/>
      <c r="Q265" s="127"/>
      <c r="R265" s="127"/>
      <c r="S265" s="127"/>
      <c r="T265" s="127"/>
      <c r="U265" s="117" t="s">
        <v>282</v>
      </c>
    </row>
    <row r="266" spans="1:21" s="121" customFormat="1" ht="10" customHeight="1" x14ac:dyDescent="0.35">
      <c r="A266" s="126" t="s">
        <v>752</v>
      </c>
      <c r="B266" s="117">
        <v>3</v>
      </c>
      <c r="C266" s="126"/>
      <c r="D266" s="116" t="s">
        <v>761</v>
      </c>
      <c r="E266" s="126" t="s">
        <v>762</v>
      </c>
      <c r="F266" s="126" t="s">
        <v>277</v>
      </c>
      <c r="G266" s="126"/>
      <c r="H266" s="127" t="s">
        <v>295</v>
      </c>
      <c r="I266" s="127" t="s">
        <v>305</v>
      </c>
      <c r="J266" s="127"/>
      <c r="K266" s="127" t="s">
        <v>280</v>
      </c>
      <c r="L266" s="127" t="s">
        <v>763</v>
      </c>
      <c r="M266" s="127"/>
      <c r="N266" s="127"/>
      <c r="O266" s="127"/>
      <c r="P266" s="127"/>
      <c r="Q266" s="127"/>
      <c r="R266" s="127"/>
      <c r="S266" s="127"/>
      <c r="T266" s="127"/>
      <c r="U266" s="117" t="s">
        <v>282</v>
      </c>
    </row>
    <row r="267" spans="1:21" s="121" customFormat="1" ht="10" customHeight="1" x14ac:dyDescent="0.35">
      <c r="A267" s="126" t="s">
        <v>646</v>
      </c>
      <c r="B267" s="117">
        <v>5</v>
      </c>
      <c r="C267" s="126"/>
      <c r="D267" s="116" t="s">
        <v>492</v>
      </c>
      <c r="E267" s="126" t="s">
        <v>764</v>
      </c>
      <c r="F267" s="126" t="s">
        <v>277</v>
      </c>
      <c r="G267" s="126"/>
      <c r="H267" s="127" t="s">
        <v>295</v>
      </c>
      <c r="I267" s="127" t="s">
        <v>279</v>
      </c>
      <c r="J267" s="127"/>
      <c r="K267" s="127" t="s">
        <v>280</v>
      </c>
      <c r="L267" s="127" t="s">
        <v>720</v>
      </c>
      <c r="M267" s="127"/>
      <c r="N267" s="127"/>
      <c r="O267" s="127"/>
      <c r="P267" s="127"/>
      <c r="Q267" s="127"/>
      <c r="R267" s="127"/>
      <c r="S267" s="127"/>
      <c r="T267" s="127"/>
      <c r="U267" s="117" t="s">
        <v>288</v>
      </c>
    </row>
    <row r="268" spans="1:21" s="121" customFormat="1" ht="10" customHeight="1" x14ac:dyDescent="0.35">
      <c r="A268" s="126" t="s">
        <v>646</v>
      </c>
      <c r="B268" s="117">
        <v>4</v>
      </c>
      <c r="C268" s="126"/>
      <c r="D268" s="116" t="s">
        <v>533</v>
      </c>
      <c r="E268" s="126" t="s">
        <v>765</v>
      </c>
      <c r="F268" s="126" t="s">
        <v>277</v>
      </c>
      <c r="G268" s="126"/>
      <c r="H268" s="127" t="s">
        <v>295</v>
      </c>
      <c r="I268" s="127" t="s">
        <v>279</v>
      </c>
      <c r="J268" s="127"/>
      <c r="K268" s="127" t="s">
        <v>280</v>
      </c>
      <c r="L268" s="127" t="s">
        <v>766</v>
      </c>
      <c r="M268" s="127"/>
      <c r="N268" s="127"/>
      <c r="O268" s="127"/>
      <c r="P268" s="127"/>
      <c r="Q268" s="127"/>
      <c r="R268" s="127"/>
      <c r="S268" s="127"/>
      <c r="T268" s="127"/>
      <c r="U268" s="117" t="s">
        <v>288</v>
      </c>
    </row>
    <row r="269" spans="1:21" s="121" customFormat="1" ht="10" customHeight="1" x14ac:dyDescent="0.35">
      <c r="A269" s="126" t="s">
        <v>646</v>
      </c>
      <c r="B269" s="117">
        <v>4</v>
      </c>
      <c r="C269" s="126"/>
      <c r="D269" s="116" t="s">
        <v>767</v>
      </c>
      <c r="E269" s="126" t="s">
        <v>768</v>
      </c>
      <c r="F269" s="126" t="s">
        <v>277</v>
      </c>
      <c r="G269" s="126"/>
      <c r="H269" s="127" t="s">
        <v>278</v>
      </c>
      <c r="I269" s="127" t="s">
        <v>279</v>
      </c>
      <c r="J269" s="127"/>
      <c r="K269" s="127" t="s">
        <v>280</v>
      </c>
      <c r="L269" s="127" t="s">
        <v>657</v>
      </c>
      <c r="M269" s="127"/>
      <c r="N269" s="127"/>
      <c r="O269" s="127"/>
      <c r="P269" s="127"/>
      <c r="Q269" s="127"/>
      <c r="R269" s="127"/>
      <c r="S269" s="127"/>
      <c r="T269" s="127"/>
      <c r="U269" s="117" t="s">
        <v>288</v>
      </c>
    </row>
    <row r="270" spans="1:21" s="121" customFormat="1" ht="10" customHeight="1" x14ac:dyDescent="0.35">
      <c r="A270" s="126" t="s">
        <v>646</v>
      </c>
      <c r="B270" s="117">
        <v>4</v>
      </c>
      <c r="C270" s="126"/>
      <c r="D270" s="116" t="s">
        <v>769</v>
      </c>
      <c r="E270" s="126" t="s">
        <v>770</v>
      </c>
      <c r="F270" s="126" t="s">
        <v>277</v>
      </c>
      <c r="G270" s="126"/>
      <c r="H270" s="127" t="s">
        <v>278</v>
      </c>
      <c r="I270" s="127" t="s">
        <v>279</v>
      </c>
      <c r="J270" s="127"/>
      <c r="K270" s="127" t="s">
        <v>280</v>
      </c>
      <c r="L270" s="127" t="s">
        <v>766</v>
      </c>
      <c r="M270" s="127"/>
      <c r="N270" s="127"/>
      <c r="O270" s="127"/>
      <c r="P270" s="127"/>
      <c r="Q270" s="127"/>
      <c r="R270" s="127"/>
      <c r="S270" s="127"/>
      <c r="T270" s="127"/>
      <c r="U270" s="117" t="s">
        <v>288</v>
      </c>
    </row>
    <row r="271" spans="1:21" s="121" customFormat="1" ht="10" customHeight="1" x14ac:dyDescent="0.35">
      <c r="A271" s="126" t="s">
        <v>646</v>
      </c>
      <c r="B271" s="117">
        <v>10</v>
      </c>
      <c r="C271" s="126"/>
      <c r="D271" s="116" t="s">
        <v>771</v>
      </c>
      <c r="E271" s="126" t="s">
        <v>772</v>
      </c>
      <c r="F271" s="126" t="s">
        <v>277</v>
      </c>
      <c r="G271" s="126"/>
      <c r="H271" s="127" t="s">
        <v>295</v>
      </c>
      <c r="I271" s="127" t="s">
        <v>279</v>
      </c>
      <c r="J271" s="127"/>
      <c r="K271" s="127" t="s">
        <v>280</v>
      </c>
      <c r="L271" s="127" t="s">
        <v>773</v>
      </c>
      <c r="M271" s="127"/>
      <c r="N271" s="127"/>
      <c r="O271" s="127"/>
      <c r="P271" s="127"/>
      <c r="Q271" s="127"/>
      <c r="R271" s="127"/>
      <c r="S271" s="127"/>
      <c r="T271" s="127"/>
      <c r="U271" s="117" t="s">
        <v>288</v>
      </c>
    </row>
    <row r="272" spans="1:21" s="121" customFormat="1" ht="10" customHeight="1" x14ac:dyDescent="0.35">
      <c r="A272" s="126" t="s">
        <v>646</v>
      </c>
      <c r="B272" s="117">
        <v>4</v>
      </c>
      <c r="C272" s="126"/>
      <c r="D272" s="116" t="s">
        <v>440</v>
      </c>
      <c r="E272" s="126" t="s">
        <v>774</v>
      </c>
      <c r="F272" s="126" t="s">
        <v>277</v>
      </c>
      <c r="G272" s="126"/>
      <c r="H272" s="127" t="s">
        <v>295</v>
      </c>
      <c r="I272" s="127" t="s">
        <v>279</v>
      </c>
      <c r="J272" s="127"/>
      <c r="K272" s="127" t="s">
        <v>280</v>
      </c>
      <c r="L272" s="127" t="s">
        <v>657</v>
      </c>
      <c r="M272" s="127"/>
      <c r="N272" s="127"/>
      <c r="O272" s="127"/>
      <c r="P272" s="127"/>
      <c r="Q272" s="127"/>
      <c r="R272" s="127"/>
      <c r="S272" s="127"/>
      <c r="T272" s="127"/>
      <c r="U272" s="117" t="s">
        <v>288</v>
      </c>
    </row>
    <row r="273" spans="1:21" s="121" customFormat="1" ht="10" customHeight="1" x14ac:dyDescent="0.35">
      <c r="A273" s="126" t="s">
        <v>646</v>
      </c>
      <c r="B273" s="117">
        <v>3</v>
      </c>
      <c r="C273" s="126"/>
      <c r="D273" s="116" t="s">
        <v>579</v>
      </c>
      <c r="E273" s="126" t="s">
        <v>775</v>
      </c>
      <c r="F273" s="126" t="s">
        <v>277</v>
      </c>
      <c r="G273" s="126"/>
      <c r="H273" s="127" t="s">
        <v>278</v>
      </c>
      <c r="I273" s="127" t="s">
        <v>279</v>
      </c>
      <c r="J273" s="127"/>
      <c r="K273" s="127" t="s">
        <v>280</v>
      </c>
      <c r="L273" s="127" t="s">
        <v>657</v>
      </c>
      <c r="M273" s="127"/>
      <c r="N273" s="127"/>
      <c r="O273" s="127"/>
      <c r="P273" s="127"/>
      <c r="Q273" s="127"/>
      <c r="R273" s="127"/>
      <c r="S273" s="127"/>
      <c r="T273" s="127"/>
      <c r="U273" s="117" t="s">
        <v>288</v>
      </c>
    </row>
    <row r="274" spans="1:21" s="121" customFormat="1" ht="10" customHeight="1" x14ac:dyDescent="0.35">
      <c r="A274" s="126" t="s">
        <v>646</v>
      </c>
      <c r="B274" s="117">
        <v>4</v>
      </c>
      <c r="C274" s="126"/>
      <c r="D274" s="116" t="s">
        <v>776</v>
      </c>
      <c r="E274" s="126" t="s">
        <v>777</v>
      </c>
      <c r="F274" s="126" t="s">
        <v>277</v>
      </c>
      <c r="G274" s="126"/>
      <c r="H274" s="127" t="s">
        <v>295</v>
      </c>
      <c r="I274" s="127" t="s">
        <v>279</v>
      </c>
      <c r="J274" s="127"/>
      <c r="K274" s="127" t="s">
        <v>280</v>
      </c>
      <c r="L274" s="127" t="s">
        <v>657</v>
      </c>
      <c r="M274" s="127"/>
      <c r="N274" s="127"/>
      <c r="O274" s="127"/>
      <c r="P274" s="127"/>
      <c r="Q274" s="127"/>
      <c r="R274" s="127"/>
      <c r="S274" s="127"/>
      <c r="T274" s="127"/>
      <c r="U274" s="117" t="s">
        <v>288</v>
      </c>
    </row>
    <row r="275" spans="1:21" s="121" customFormat="1" ht="10" customHeight="1" x14ac:dyDescent="0.35">
      <c r="A275" s="126" t="s">
        <v>646</v>
      </c>
      <c r="B275" s="117">
        <v>3</v>
      </c>
      <c r="C275" s="126"/>
      <c r="D275" s="116" t="s">
        <v>525</v>
      </c>
      <c r="E275" s="126" t="s">
        <v>778</v>
      </c>
      <c r="F275" s="126" t="s">
        <v>277</v>
      </c>
      <c r="G275" s="126"/>
      <c r="H275" s="127" t="s">
        <v>278</v>
      </c>
      <c r="I275" s="127" t="s">
        <v>279</v>
      </c>
      <c r="J275" s="127"/>
      <c r="K275" s="127" t="s">
        <v>280</v>
      </c>
      <c r="L275" s="127" t="s">
        <v>657</v>
      </c>
      <c r="M275" s="127"/>
      <c r="N275" s="127"/>
      <c r="O275" s="127"/>
      <c r="P275" s="127"/>
      <c r="Q275" s="127"/>
      <c r="R275" s="127"/>
      <c r="S275" s="127"/>
      <c r="T275" s="127"/>
      <c r="U275" s="117" t="s">
        <v>288</v>
      </c>
    </row>
    <row r="276" spans="1:21" s="121" customFormat="1" ht="10" customHeight="1" x14ac:dyDescent="0.35">
      <c r="A276" s="126" t="s">
        <v>646</v>
      </c>
      <c r="B276" s="117">
        <v>4</v>
      </c>
      <c r="C276" s="126"/>
      <c r="D276" s="116" t="s">
        <v>779</v>
      </c>
      <c r="E276" s="126" t="s">
        <v>780</v>
      </c>
      <c r="F276" s="126" t="s">
        <v>277</v>
      </c>
      <c r="G276" s="126"/>
      <c r="H276" s="127" t="s">
        <v>295</v>
      </c>
      <c r="I276" s="127" t="s">
        <v>279</v>
      </c>
      <c r="J276" s="127"/>
      <c r="K276" s="127" t="s">
        <v>280</v>
      </c>
      <c r="L276" s="127" t="s">
        <v>720</v>
      </c>
      <c r="M276" s="127"/>
      <c r="N276" s="127"/>
      <c r="O276" s="127"/>
      <c r="P276" s="127"/>
      <c r="Q276" s="127"/>
      <c r="R276" s="127"/>
      <c r="S276" s="127"/>
      <c r="T276" s="127"/>
      <c r="U276" s="117" t="s">
        <v>288</v>
      </c>
    </row>
    <row r="277" spans="1:21" s="121" customFormat="1" ht="10" customHeight="1" x14ac:dyDescent="0.35">
      <c r="A277" s="126" t="s">
        <v>646</v>
      </c>
      <c r="B277" s="117">
        <v>2</v>
      </c>
      <c r="C277" s="126"/>
      <c r="D277" s="116" t="s">
        <v>643</v>
      </c>
      <c r="E277" s="126" t="s">
        <v>781</v>
      </c>
      <c r="F277" s="126" t="s">
        <v>277</v>
      </c>
      <c r="G277" s="126"/>
      <c r="H277" s="127" t="s">
        <v>295</v>
      </c>
      <c r="I277" s="127" t="s">
        <v>279</v>
      </c>
      <c r="J277" s="127"/>
      <c r="K277" s="127" t="s">
        <v>280</v>
      </c>
      <c r="L277" s="127" t="s">
        <v>667</v>
      </c>
      <c r="M277" s="127"/>
      <c r="N277" s="127"/>
      <c r="O277" s="127"/>
      <c r="P277" s="127"/>
      <c r="Q277" s="127"/>
      <c r="R277" s="127"/>
      <c r="S277" s="127"/>
      <c r="T277" s="127"/>
      <c r="U277" s="117" t="s">
        <v>288</v>
      </c>
    </row>
    <row r="278" spans="1:21" s="121" customFormat="1" ht="10" customHeight="1" x14ac:dyDescent="0.35">
      <c r="A278" s="126" t="s">
        <v>646</v>
      </c>
      <c r="B278" s="117">
        <v>2</v>
      </c>
      <c r="C278" s="126"/>
      <c r="D278" s="116" t="s">
        <v>782</v>
      </c>
      <c r="E278" s="126" t="s">
        <v>783</v>
      </c>
      <c r="F278" s="126" t="s">
        <v>277</v>
      </c>
      <c r="G278" s="126"/>
      <c r="H278" s="127" t="s">
        <v>278</v>
      </c>
      <c r="I278" s="127" t="s">
        <v>279</v>
      </c>
      <c r="J278" s="127"/>
      <c r="K278" s="127" t="s">
        <v>280</v>
      </c>
      <c r="L278" s="127" t="s">
        <v>657</v>
      </c>
      <c r="M278" s="127"/>
      <c r="N278" s="127"/>
      <c r="O278" s="127"/>
      <c r="P278" s="127"/>
      <c r="Q278" s="127"/>
      <c r="R278" s="127"/>
      <c r="S278" s="127"/>
      <c r="T278" s="127"/>
      <c r="U278" s="117" t="s">
        <v>288</v>
      </c>
    </row>
    <row r="279" spans="1:21" s="121" customFormat="1" ht="10" customHeight="1" x14ac:dyDescent="0.35">
      <c r="A279" s="126" t="s">
        <v>646</v>
      </c>
      <c r="B279" s="117">
        <v>10</v>
      </c>
      <c r="C279" s="126"/>
      <c r="D279" s="116" t="s">
        <v>671</v>
      </c>
      <c r="E279" s="126" t="s">
        <v>784</v>
      </c>
      <c r="F279" s="126" t="s">
        <v>277</v>
      </c>
      <c r="G279" s="126"/>
      <c r="H279" s="127" t="s">
        <v>278</v>
      </c>
      <c r="I279" s="127" t="s">
        <v>279</v>
      </c>
      <c r="J279" s="127"/>
      <c r="K279" s="127" t="s">
        <v>280</v>
      </c>
      <c r="L279" s="127" t="s">
        <v>439</v>
      </c>
      <c r="M279" s="127"/>
      <c r="N279" s="127"/>
      <c r="O279" s="127"/>
      <c r="P279" s="127"/>
      <c r="Q279" s="127"/>
      <c r="R279" s="127"/>
      <c r="S279" s="127"/>
      <c r="T279" s="127"/>
      <c r="U279" s="117" t="s">
        <v>288</v>
      </c>
    </row>
    <row r="280" spans="1:21" s="121" customFormat="1" ht="10" customHeight="1" x14ac:dyDescent="0.35">
      <c r="A280" s="126" t="s">
        <v>646</v>
      </c>
      <c r="B280" s="117">
        <v>5</v>
      </c>
      <c r="C280" s="126"/>
      <c r="D280" s="116" t="s">
        <v>673</v>
      </c>
      <c r="E280" s="126" t="s">
        <v>785</v>
      </c>
      <c r="F280" s="126" t="s">
        <v>277</v>
      </c>
      <c r="G280" s="126"/>
      <c r="H280" s="127" t="s">
        <v>278</v>
      </c>
      <c r="I280" s="127" t="s">
        <v>279</v>
      </c>
      <c r="J280" s="127"/>
      <c r="K280" s="127" t="s">
        <v>280</v>
      </c>
      <c r="L280" s="127" t="s">
        <v>657</v>
      </c>
      <c r="M280" s="127"/>
      <c r="N280" s="127"/>
      <c r="O280" s="127"/>
      <c r="P280" s="127"/>
      <c r="Q280" s="127"/>
      <c r="R280" s="127"/>
      <c r="S280" s="127"/>
      <c r="T280" s="127"/>
      <c r="U280" s="117" t="s">
        <v>288</v>
      </c>
    </row>
    <row r="281" spans="1:21" s="121" customFormat="1" ht="10" customHeight="1" x14ac:dyDescent="0.35">
      <c r="A281" s="126" t="s">
        <v>646</v>
      </c>
      <c r="B281" s="117">
        <v>2</v>
      </c>
      <c r="C281" s="126"/>
      <c r="D281" s="116" t="s">
        <v>786</v>
      </c>
      <c r="E281" s="126" t="s">
        <v>787</v>
      </c>
      <c r="F281" s="126" t="s">
        <v>277</v>
      </c>
      <c r="G281" s="126"/>
      <c r="H281" s="127" t="s">
        <v>278</v>
      </c>
      <c r="I281" s="127" t="s">
        <v>279</v>
      </c>
      <c r="J281" s="127"/>
      <c r="K281" s="127" t="s">
        <v>280</v>
      </c>
      <c r="L281" s="127" t="s">
        <v>657</v>
      </c>
      <c r="M281" s="127"/>
      <c r="N281" s="127"/>
      <c r="O281" s="127"/>
      <c r="P281" s="127"/>
      <c r="Q281" s="127"/>
      <c r="R281" s="127"/>
      <c r="S281" s="127"/>
      <c r="T281" s="127"/>
      <c r="U281" s="117" t="s">
        <v>288</v>
      </c>
    </row>
    <row r="282" spans="1:21" s="121" customFormat="1" ht="10" customHeight="1" x14ac:dyDescent="0.35">
      <c r="A282" s="126" t="s">
        <v>646</v>
      </c>
      <c r="B282" s="117">
        <v>2</v>
      </c>
      <c r="C282" s="126"/>
      <c r="D282" s="116" t="s">
        <v>788</v>
      </c>
      <c r="E282" s="126" t="s">
        <v>789</v>
      </c>
      <c r="F282" s="126" t="s">
        <v>277</v>
      </c>
      <c r="G282" s="126"/>
      <c r="H282" s="127" t="s">
        <v>278</v>
      </c>
      <c r="I282" s="127" t="s">
        <v>279</v>
      </c>
      <c r="J282" s="127"/>
      <c r="K282" s="127" t="s">
        <v>280</v>
      </c>
      <c r="L282" s="127" t="s">
        <v>657</v>
      </c>
      <c r="M282" s="127"/>
      <c r="N282" s="127"/>
      <c r="O282" s="127"/>
      <c r="P282" s="127"/>
      <c r="Q282" s="127"/>
      <c r="R282" s="127"/>
      <c r="S282" s="127"/>
      <c r="T282" s="127"/>
      <c r="U282" s="117" t="s">
        <v>288</v>
      </c>
    </row>
    <row r="283" spans="1:21" s="121" customFormat="1" ht="10" customHeight="1" x14ac:dyDescent="0.35">
      <c r="A283" s="126" t="s">
        <v>646</v>
      </c>
      <c r="B283" s="117">
        <v>2</v>
      </c>
      <c r="C283" s="126"/>
      <c r="D283" s="116" t="s">
        <v>790</v>
      </c>
      <c r="E283" s="126" t="s">
        <v>791</v>
      </c>
      <c r="F283" s="126" t="s">
        <v>277</v>
      </c>
      <c r="G283" s="126"/>
      <c r="H283" s="127" t="s">
        <v>278</v>
      </c>
      <c r="I283" s="127" t="s">
        <v>279</v>
      </c>
      <c r="J283" s="127"/>
      <c r="K283" s="127" t="s">
        <v>280</v>
      </c>
      <c r="L283" s="127" t="s">
        <v>657</v>
      </c>
      <c r="M283" s="127"/>
      <c r="N283" s="127"/>
      <c r="O283" s="127"/>
      <c r="P283" s="127"/>
      <c r="Q283" s="127"/>
      <c r="R283" s="127"/>
      <c r="S283" s="127"/>
      <c r="T283" s="127"/>
      <c r="U283" s="117" t="s">
        <v>288</v>
      </c>
    </row>
    <row r="284" spans="1:21" s="121" customFormat="1" ht="10" customHeight="1" x14ac:dyDescent="0.35">
      <c r="A284" s="126" t="s">
        <v>646</v>
      </c>
      <c r="B284" s="117">
        <v>6</v>
      </c>
      <c r="C284" s="126"/>
      <c r="D284" s="116" t="s">
        <v>536</v>
      </c>
      <c r="E284" s="126" t="s">
        <v>792</v>
      </c>
      <c r="F284" s="126" t="s">
        <v>277</v>
      </c>
      <c r="G284" s="126"/>
      <c r="H284" s="127" t="s">
        <v>295</v>
      </c>
      <c r="I284" s="127" t="s">
        <v>279</v>
      </c>
      <c r="J284" s="127"/>
      <c r="K284" s="127" t="s">
        <v>280</v>
      </c>
      <c r="L284" s="127" t="s">
        <v>657</v>
      </c>
      <c r="M284" s="127"/>
      <c r="N284" s="127"/>
      <c r="O284" s="127"/>
      <c r="P284" s="127"/>
      <c r="Q284" s="127"/>
      <c r="R284" s="127"/>
      <c r="S284" s="127"/>
      <c r="T284" s="127"/>
      <c r="U284" s="117" t="s">
        <v>288</v>
      </c>
    </row>
    <row r="285" spans="1:21" s="121" customFormat="1" ht="10" customHeight="1" x14ac:dyDescent="0.35">
      <c r="A285" s="126" t="s">
        <v>646</v>
      </c>
      <c r="B285" s="117">
        <v>4</v>
      </c>
      <c r="C285" s="126"/>
      <c r="D285" s="116" t="s">
        <v>538</v>
      </c>
      <c r="E285" s="126" t="s">
        <v>793</v>
      </c>
      <c r="F285" s="126" t="s">
        <v>277</v>
      </c>
      <c r="G285" s="126"/>
      <c r="H285" s="127" t="s">
        <v>295</v>
      </c>
      <c r="I285" s="127" t="s">
        <v>279</v>
      </c>
      <c r="J285" s="127"/>
      <c r="K285" s="127" t="s">
        <v>280</v>
      </c>
      <c r="L285" s="127" t="s">
        <v>657</v>
      </c>
      <c r="M285" s="127"/>
      <c r="N285" s="127"/>
      <c r="O285" s="127"/>
      <c r="P285" s="127"/>
      <c r="Q285" s="127"/>
      <c r="R285" s="127"/>
      <c r="S285" s="127"/>
      <c r="T285" s="127"/>
      <c r="U285" s="117" t="s">
        <v>288</v>
      </c>
    </row>
    <row r="286" spans="1:21" s="121" customFormat="1" ht="10" customHeight="1" x14ac:dyDescent="0.35">
      <c r="A286" s="126" t="s">
        <v>646</v>
      </c>
      <c r="B286" s="117">
        <v>2</v>
      </c>
      <c r="C286" s="126"/>
      <c r="D286" s="116" t="s">
        <v>488</v>
      </c>
      <c r="E286" s="126" t="s">
        <v>794</v>
      </c>
      <c r="F286" s="126" t="s">
        <v>277</v>
      </c>
      <c r="G286" s="126"/>
      <c r="H286" s="127" t="s">
        <v>295</v>
      </c>
      <c r="I286" s="127" t="s">
        <v>279</v>
      </c>
      <c r="J286" s="127"/>
      <c r="K286" s="127" t="s">
        <v>280</v>
      </c>
      <c r="L286" s="127" t="s">
        <v>657</v>
      </c>
      <c r="M286" s="127"/>
      <c r="N286" s="127"/>
      <c r="O286" s="127"/>
      <c r="P286" s="127"/>
      <c r="Q286" s="127"/>
      <c r="R286" s="127"/>
      <c r="S286" s="127"/>
      <c r="T286" s="127"/>
      <c r="U286" s="117" t="s">
        <v>288</v>
      </c>
    </row>
    <row r="287" spans="1:21" s="121" customFormat="1" ht="10" customHeight="1" x14ac:dyDescent="0.35">
      <c r="A287" s="126" t="s">
        <v>87</v>
      </c>
      <c r="B287" s="117">
        <v>2</v>
      </c>
      <c r="C287" s="126"/>
      <c r="D287" s="116" t="s">
        <v>317</v>
      </c>
      <c r="E287" s="126" t="s">
        <v>795</v>
      </c>
      <c r="F287" s="126" t="s">
        <v>277</v>
      </c>
      <c r="G287" s="126"/>
      <c r="H287" s="127" t="s">
        <v>93</v>
      </c>
      <c r="I287" s="127" t="s">
        <v>279</v>
      </c>
      <c r="J287" s="127"/>
      <c r="K287" s="127" t="s">
        <v>280</v>
      </c>
      <c r="L287" s="127" t="s">
        <v>328</v>
      </c>
      <c r="M287" s="127"/>
      <c r="N287" s="127"/>
      <c r="O287" s="127"/>
      <c r="P287" s="127"/>
      <c r="Q287" s="127"/>
      <c r="R287" s="127"/>
      <c r="S287" s="127"/>
      <c r="T287" s="127"/>
      <c r="U287" s="117" t="s">
        <v>282</v>
      </c>
    </row>
    <row r="288" spans="1:21" s="121" customFormat="1" ht="10" customHeight="1" x14ac:dyDescent="0.35">
      <c r="A288" s="126" t="s">
        <v>646</v>
      </c>
      <c r="B288" s="117">
        <v>16</v>
      </c>
      <c r="C288" s="126"/>
      <c r="D288" s="116" t="s">
        <v>26</v>
      </c>
      <c r="E288" s="126" t="s">
        <v>796</v>
      </c>
      <c r="F288" s="126" t="s">
        <v>277</v>
      </c>
      <c r="G288" s="126"/>
      <c r="H288" s="127" t="s">
        <v>93</v>
      </c>
      <c r="I288" s="127" t="s">
        <v>279</v>
      </c>
      <c r="J288" s="127"/>
      <c r="K288" s="127" t="s">
        <v>280</v>
      </c>
      <c r="L288" s="127" t="s">
        <v>797</v>
      </c>
      <c r="M288" s="127"/>
      <c r="N288" s="127"/>
      <c r="O288" s="127"/>
      <c r="P288" s="127"/>
      <c r="Q288" s="127"/>
      <c r="R288" s="127"/>
      <c r="S288" s="127"/>
      <c r="T288" s="127"/>
      <c r="U288" s="117" t="s">
        <v>288</v>
      </c>
    </row>
    <row r="289" spans="1:21" s="121" customFormat="1" ht="10" customHeight="1" x14ac:dyDescent="0.35">
      <c r="A289" s="126" t="s">
        <v>752</v>
      </c>
      <c r="B289" s="117">
        <v>100</v>
      </c>
      <c r="C289" s="126"/>
      <c r="D289" s="116" t="s">
        <v>244</v>
      </c>
      <c r="E289" s="126" t="s">
        <v>798</v>
      </c>
      <c r="F289" s="126" t="s">
        <v>277</v>
      </c>
      <c r="G289" s="126"/>
      <c r="H289" s="127" t="s">
        <v>278</v>
      </c>
      <c r="I289" s="127" t="s">
        <v>279</v>
      </c>
      <c r="J289" s="127"/>
      <c r="K289" s="127" t="s">
        <v>280</v>
      </c>
      <c r="L289" s="127" t="s">
        <v>436</v>
      </c>
      <c r="M289" s="127"/>
      <c r="N289" s="127"/>
      <c r="O289" s="127"/>
      <c r="P289" s="127"/>
      <c r="Q289" s="127"/>
      <c r="R289" s="127"/>
      <c r="S289" s="127"/>
      <c r="T289" s="127"/>
      <c r="U289" s="117" t="s">
        <v>288</v>
      </c>
    </row>
    <row r="290" spans="1:21" s="121" customFormat="1" ht="10" customHeight="1" x14ac:dyDescent="0.35">
      <c r="A290" s="126" t="s">
        <v>752</v>
      </c>
      <c r="B290" s="117">
        <v>7</v>
      </c>
      <c r="C290" s="126"/>
      <c r="D290" s="116" t="s">
        <v>317</v>
      </c>
      <c r="E290" s="126" t="s">
        <v>799</v>
      </c>
      <c r="F290" s="126" t="s">
        <v>277</v>
      </c>
      <c r="G290" s="126"/>
      <c r="H290" s="127" t="s">
        <v>93</v>
      </c>
      <c r="I290" s="127" t="s">
        <v>93</v>
      </c>
      <c r="J290" s="127"/>
      <c r="K290" s="127" t="s">
        <v>280</v>
      </c>
      <c r="L290" s="127" t="s">
        <v>328</v>
      </c>
      <c r="M290" s="127"/>
      <c r="N290" s="127"/>
      <c r="O290" s="127"/>
      <c r="P290" s="127"/>
      <c r="Q290" s="127"/>
      <c r="R290" s="127"/>
      <c r="S290" s="127"/>
      <c r="T290" s="127"/>
      <c r="U290" s="117" t="s">
        <v>282</v>
      </c>
    </row>
    <row r="291" spans="1:21" s="121" customFormat="1" ht="10" customHeight="1" x14ac:dyDescent="0.35">
      <c r="A291" s="126" t="s">
        <v>757</v>
      </c>
      <c r="B291" s="117">
        <v>6</v>
      </c>
      <c r="C291" s="126"/>
      <c r="D291" s="116" t="s">
        <v>303</v>
      </c>
      <c r="E291" s="126" t="s">
        <v>800</v>
      </c>
      <c r="F291" s="126" t="s">
        <v>277</v>
      </c>
      <c r="G291" s="126"/>
      <c r="H291" s="127" t="s">
        <v>295</v>
      </c>
      <c r="I291" s="127" t="s">
        <v>305</v>
      </c>
      <c r="J291" s="127"/>
      <c r="K291" s="127" t="s">
        <v>280</v>
      </c>
      <c r="L291" s="127" t="s">
        <v>650</v>
      </c>
      <c r="M291" s="127"/>
      <c r="N291" s="127"/>
      <c r="O291" s="127"/>
      <c r="P291" s="127"/>
      <c r="Q291" s="127"/>
      <c r="R291" s="127"/>
      <c r="S291" s="127"/>
      <c r="T291" s="127"/>
      <c r="U291" s="117" t="s">
        <v>282</v>
      </c>
    </row>
    <row r="292" spans="1:21" s="121" customFormat="1" ht="10" customHeight="1" x14ac:dyDescent="0.35">
      <c r="A292" s="126" t="s">
        <v>757</v>
      </c>
      <c r="B292" s="117">
        <v>2</v>
      </c>
      <c r="C292" s="126"/>
      <c r="D292" s="116" t="s">
        <v>742</v>
      </c>
      <c r="E292" s="126" t="s">
        <v>801</v>
      </c>
      <c r="F292" s="126" t="s">
        <v>277</v>
      </c>
      <c r="G292" s="126"/>
      <c r="H292" s="127" t="s">
        <v>93</v>
      </c>
      <c r="I292" s="127" t="s">
        <v>93</v>
      </c>
      <c r="J292" s="127"/>
      <c r="K292" s="127" t="s">
        <v>280</v>
      </c>
      <c r="L292" s="127" t="s">
        <v>328</v>
      </c>
      <c r="M292" s="127"/>
      <c r="N292" s="127"/>
      <c r="O292" s="127"/>
      <c r="P292" s="127"/>
      <c r="Q292" s="127"/>
      <c r="R292" s="127"/>
      <c r="S292" s="127"/>
      <c r="T292" s="127"/>
      <c r="U292" s="117" t="s">
        <v>282</v>
      </c>
    </row>
    <row r="293" spans="1:21" s="121" customFormat="1" ht="10" customHeight="1" x14ac:dyDescent="0.35">
      <c r="A293" s="126" t="s">
        <v>757</v>
      </c>
      <c r="B293" s="117">
        <v>9</v>
      </c>
      <c r="C293" s="126"/>
      <c r="D293" s="116" t="s">
        <v>303</v>
      </c>
      <c r="E293" s="126" t="s">
        <v>802</v>
      </c>
      <c r="F293" s="126" t="s">
        <v>277</v>
      </c>
      <c r="G293" s="126"/>
      <c r="H293" s="127" t="s">
        <v>295</v>
      </c>
      <c r="I293" s="127" t="s">
        <v>305</v>
      </c>
      <c r="J293" s="127"/>
      <c r="K293" s="127" t="s">
        <v>280</v>
      </c>
      <c r="L293" s="127" t="s">
        <v>650</v>
      </c>
      <c r="M293" s="127"/>
      <c r="N293" s="127"/>
      <c r="O293" s="127"/>
      <c r="P293" s="127"/>
      <c r="Q293" s="127"/>
      <c r="R293" s="127"/>
      <c r="S293" s="127"/>
      <c r="T293" s="127"/>
      <c r="U293" s="117" t="s">
        <v>282</v>
      </c>
    </row>
    <row r="294" spans="1:21" s="121" customFormat="1" ht="10" customHeight="1" x14ac:dyDescent="0.35">
      <c r="A294" s="126" t="s">
        <v>757</v>
      </c>
      <c r="B294" s="117">
        <v>4</v>
      </c>
      <c r="C294" s="126"/>
      <c r="D294" s="116" t="s">
        <v>803</v>
      </c>
      <c r="E294" s="126" t="s">
        <v>804</v>
      </c>
      <c r="F294" s="126" t="s">
        <v>277</v>
      </c>
      <c r="G294" s="126"/>
      <c r="H294" s="127" t="s">
        <v>278</v>
      </c>
      <c r="I294" s="127" t="s">
        <v>279</v>
      </c>
      <c r="J294" s="127"/>
      <c r="K294" s="127" t="s">
        <v>280</v>
      </c>
      <c r="L294" s="127" t="s">
        <v>451</v>
      </c>
      <c r="M294" s="127"/>
      <c r="N294" s="127"/>
      <c r="O294" s="127"/>
      <c r="P294" s="127"/>
      <c r="Q294" s="127"/>
      <c r="R294" s="127"/>
      <c r="S294" s="127"/>
      <c r="T294" s="127"/>
      <c r="U294" s="117" t="s">
        <v>288</v>
      </c>
    </row>
    <row r="295" spans="1:21" s="121" customFormat="1" ht="10" customHeight="1" x14ac:dyDescent="0.35">
      <c r="A295" s="126" t="s">
        <v>757</v>
      </c>
      <c r="B295" s="117">
        <v>2</v>
      </c>
      <c r="C295" s="126"/>
      <c r="D295" s="116" t="s">
        <v>492</v>
      </c>
      <c r="E295" s="126" t="s">
        <v>805</v>
      </c>
      <c r="F295" s="126" t="s">
        <v>277</v>
      </c>
      <c r="G295" s="126"/>
      <c r="H295" s="127" t="s">
        <v>295</v>
      </c>
      <c r="I295" s="127" t="s">
        <v>279</v>
      </c>
      <c r="J295" s="127"/>
      <c r="K295" s="127" t="s">
        <v>280</v>
      </c>
      <c r="L295" s="127" t="s">
        <v>806</v>
      </c>
      <c r="M295" s="127"/>
      <c r="N295" s="127"/>
      <c r="O295" s="127"/>
      <c r="P295" s="127"/>
      <c r="Q295" s="127"/>
      <c r="R295" s="127"/>
      <c r="S295" s="127"/>
      <c r="T295" s="127"/>
      <c r="U295" s="117" t="s">
        <v>288</v>
      </c>
    </row>
    <row r="296" spans="1:21" s="121" customFormat="1" ht="10" customHeight="1" x14ac:dyDescent="0.35">
      <c r="A296" s="126" t="s">
        <v>757</v>
      </c>
      <c r="B296" s="117">
        <v>8</v>
      </c>
      <c r="C296" s="126"/>
      <c r="D296" s="116" t="s">
        <v>297</v>
      </c>
      <c r="E296" s="126" t="s">
        <v>807</v>
      </c>
      <c r="F296" s="126" t="s">
        <v>277</v>
      </c>
      <c r="G296" s="126"/>
      <c r="H296" s="127"/>
      <c r="I296" s="127" t="s">
        <v>322</v>
      </c>
      <c r="J296" s="127"/>
      <c r="K296" s="127" t="s">
        <v>280</v>
      </c>
      <c r="L296" s="127" t="s">
        <v>766</v>
      </c>
      <c r="M296" s="127"/>
      <c r="N296" s="127"/>
      <c r="O296" s="127"/>
      <c r="P296" s="127"/>
      <c r="Q296" s="127"/>
      <c r="R296" s="127"/>
      <c r="S296" s="127"/>
      <c r="T296" s="127"/>
      <c r="U296" s="117" t="s">
        <v>288</v>
      </c>
    </row>
    <row r="297" spans="1:21" s="121" customFormat="1" ht="10" customHeight="1" x14ac:dyDescent="0.35">
      <c r="A297" s="126"/>
      <c r="B297" s="126"/>
      <c r="C297" s="126"/>
      <c r="D297" s="126"/>
      <c r="E297" s="126"/>
      <c r="F297" s="126"/>
      <c r="G297" s="126"/>
      <c r="H297" s="127"/>
      <c r="I297" s="127"/>
      <c r="J297" s="127"/>
      <c r="K297" s="127" t="s">
        <v>280</v>
      </c>
      <c r="L297" s="127"/>
      <c r="M297" s="127"/>
      <c r="N297" s="127"/>
      <c r="O297" s="127"/>
      <c r="P297" s="127"/>
      <c r="Q297" s="127"/>
      <c r="R297" s="127"/>
      <c r="S297" s="127"/>
      <c r="T297" s="127"/>
      <c r="U297" s="117"/>
    </row>
    <row r="298" spans="1:21" s="121" customFormat="1" ht="10" customHeight="1" x14ac:dyDescent="0.35">
      <c r="A298" s="126"/>
      <c r="B298" s="126"/>
      <c r="C298" s="126"/>
      <c r="D298" s="126"/>
      <c r="E298" s="126"/>
      <c r="F298" s="126"/>
      <c r="G298" s="126"/>
      <c r="H298" s="127"/>
      <c r="I298" s="127"/>
      <c r="J298" s="127"/>
      <c r="K298" s="127"/>
      <c r="L298" s="127"/>
      <c r="M298" s="127"/>
      <c r="N298" s="127"/>
      <c r="O298" s="127"/>
      <c r="P298" s="127"/>
      <c r="Q298" s="127"/>
      <c r="R298" s="127"/>
      <c r="S298" s="127"/>
      <c r="T298" s="127"/>
      <c r="U298" s="117"/>
    </row>
  </sheetData>
  <autoFilter ref="A1:V297" xr:uid="{00000000-0009-0000-0000-000002000000}"/>
  <phoneticPr fontId="32" type="noConversion"/>
  <conditionalFormatting sqref="R42:T43 K42:K43 V42:V43">
    <cfRule type="cellIs" dxfId="18" priority="103" operator="equal">
      <formula>"Aborted"</formula>
    </cfRule>
  </conditionalFormatting>
  <conditionalFormatting sqref="R89:T104 K89:L104 V89:V104">
    <cfRule type="cellIs" dxfId="17" priority="15" operator="equal">
      <formula>"PASS"</formula>
    </cfRule>
  </conditionalFormatting>
  <conditionalFormatting sqref="H131 H138:H146 H133:H134 H211:H226 H197:H207 H150:H189 H191:H195 H230:H252 H254:H256 H258:H286 H289 H291 H293:H417 H2:H129">
    <cfRule type="cellIs" dxfId="16" priority="13" operator="equal">
      <formula>"Passed"</formula>
    </cfRule>
    <cfRule type="cellIs" dxfId="15" priority="14" operator="equal">
      <formula>"Failed"</formula>
    </cfRule>
  </conditionalFormatting>
  <conditionalFormatting sqref="H130">
    <cfRule type="cellIs" dxfId="14" priority="11" operator="equal">
      <formula>"Passed"</formula>
    </cfRule>
    <cfRule type="cellIs" dxfId="13" priority="12" operator="equal">
      <formula>"Failed"</formula>
    </cfRule>
  </conditionalFormatting>
  <conditionalFormatting sqref="K136:L137 R136:T137 V136:V137">
    <cfRule type="cellIs" dxfId="12" priority="9" operator="equal">
      <formula>"FAIL"</formula>
    </cfRule>
    <cfRule type="cellIs" dxfId="11" priority="10" operator="equal">
      <formula>"PASS"</formula>
    </cfRule>
  </conditionalFormatting>
  <conditionalFormatting sqref="H227:H229">
    <cfRule type="cellIs" dxfId="10" priority="5" operator="equal">
      <formula>"Passed"</formula>
    </cfRule>
    <cfRule type="cellIs" dxfId="9" priority="6" operator="equal">
      <formula>"Failed"</formula>
    </cfRule>
  </conditionalFormatting>
  <conditionalFormatting sqref="H209:H210">
    <cfRule type="cellIs" dxfId="8" priority="3" operator="equal">
      <formula>"Passed"</formula>
    </cfRule>
    <cfRule type="cellIs" dxfId="7" priority="4" operator="equal">
      <formula>"Failed"</formula>
    </cfRule>
  </conditionalFormatting>
  <conditionalFormatting sqref="H149">
    <cfRule type="cellIs" dxfId="1" priority="1" operator="equal">
      <formula>"Passed"</formula>
    </cfRule>
    <cfRule type="cellIs" dxfId="0" priority="2" operator="equal">
      <formula>"Failed"</formula>
    </cfRule>
  </conditionalFormatting>
  <dataValidations disablePrompts="1" count="2">
    <dataValidation showInputMessage="1" showErrorMessage="1" sqref="V41:V43 V48 T41:T43 T48 T2:T36 V2:V36 U1:U1048576 Q1:R1048576 O1:O1048576" xr:uid="{00000000-0002-0000-0200-000000000000}"/>
    <dataValidation type="list" showInputMessage="1" showErrorMessage="1" sqref="M48 M41:M43 M2:M36" xr:uid="{00000000-0002-0000-0200-000001000000}">
      <formula1>"Not Yet Evaluated,PASS,PASS w Re-confirm,FAIL,FAIL Sev 5,FAIL Sev 4,FAIL Sev 3,FAIL Sev 2,FAIL Sev 1"</formula1>
    </dataValidation>
  </dataValidations>
  <hyperlinks>
    <hyperlink ref="K2" r:id="rId1" xr:uid="{00000000-0004-0000-0200-000000000000}"/>
    <hyperlink ref="K3" r:id="rId2" xr:uid="{00000000-0004-0000-0200-000001000000}"/>
    <hyperlink ref="K4" r:id="rId3" xr:uid="{00000000-0004-0000-0200-000002000000}"/>
    <hyperlink ref="K5" r:id="rId4" xr:uid="{00000000-0004-0000-0200-000003000000}"/>
    <hyperlink ref="K6" display="Open" xr:uid="{00000000-0004-0000-0200-000004000000}"/>
    <hyperlink ref="K7" r:id="rId5" xr:uid="{00000000-0004-0000-0200-000005000000}"/>
    <hyperlink ref="K8" r:id="rId6" xr:uid="{00000000-0004-0000-0200-000006000000}"/>
    <hyperlink ref="K9" r:id="rId7" xr:uid="{00000000-0004-0000-0200-000007000000}"/>
    <hyperlink ref="K10" r:id="rId8" xr:uid="{00000000-0004-0000-0200-000008000000}"/>
    <hyperlink ref="K11" r:id="rId9" xr:uid="{00000000-0004-0000-0200-000009000000}"/>
    <hyperlink ref="K12" r:id="rId10" xr:uid="{00000000-0004-0000-0200-00000A000000}"/>
    <hyperlink ref="K13" r:id="rId11" xr:uid="{00000000-0004-0000-0200-00000B000000}"/>
    <hyperlink ref="K14" r:id="rId12" xr:uid="{00000000-0004-0000-0200-00000C000000}"/>
    <hyperlink ref="K15" r:id="rId13" xr:uid="{00000000-0004-0000-0200-00000D000000}"/>
    <hyperlink ref="K16" r:id="rId14" xr:uid="{00000000-0004-0000-0200-00000E000000}"/>
    <hyperlink ref="K17" r:id="rId15" xr:uid="{00000000-0004-0000-0200-00000F000000}"/>
    <hyperlink ref="K18" r:id="rId16" xr:uid="{00000000-0004-0000-0200-000010000000}"/>
    <hyperlink ref="K19" r:id="rId17" xr:uid="{00000000-0004-0000-0200-000011000000}"/>
    <hyperlink ref="K20" display="Open" xr:uid="{00000000-0004-0000-0200-000012000000}"/>
    <hyperlink ref="K21" r:id="rId18" xr:uid="{00000000-0004-0000-0200-000013000000}"/>
    <hyperlink ref="K22" r:id="rId19" xr:uid="{00000000-0004-0000-0200-000014000000}"/>
    <hyperlink ref="K23" display="Open" xr:uid="{00000000-0004-0000-0200-000015000000}"/>
    <hyperlink ref="K24" r:id="rId20" xr:uid="{00000000-0004-0000-0200-000016000000}"/>
    <hyperlink ref="K25" r:id="rId21" xr:uid="{00000000-0004-0000-0200-000017000000}"/>
    <hyperlink ref="K26" r:id="rId22" xr:uid="{00000000-0004-0000-0200-000018000000}"/>
    <hyperlink ref="K27" r:id="rId23" xr:uid="{00000000-0004-0000-0200-000019000000}"/>
    <hyperlink ref="K28" r:id="rId24" xr:uid="{00000000-0004-0000-0200-00001A000000}"/>
    <hyperlink ref="K29" r:id="rId25" xr:uid="{00000000-0004-0000-0200-00001B000000}"/>
    <hyperlink ref="K30" r:id="rId26" xr:uid="{00000000-0004-0000-0200-00001C000000}"/>
    <hyperlink ref="K31" r:id="rId27" xr:uid="{00000000-0004-0000-0200-00001D000000}"/>
    <hyperlink ref="K32" r:id="rId28" xr:uid="{00000000-0004-0000-0200-00001E000000}"/>
    <hyperlink ref="K33" r:id="rId29" xr:uid="{00000000-0004-0000-0200-00001F000000}"/>
    <hyperlink ref="K34" r:id="rId30" xr:uid="{00000000-0004-0000-0200-000020000000}"/>
    <hyperlink ref="K35" display="Open" xr:uid="{00000000-0004-0000-0200-000021000000}"/>
    <hyperlink ref="K36" display="Open" xr:uid="{00000000-0004-0000-0200-000022000000}"/>
    <hyperlink ref="K37" display="Open" xr:uid="{00000000-0004-0000-0200-000023000000}"/>
    <hyperlink ref="K38" r:id="rId31" xr:uid="{00000000-0004-0000-0200-000024000000}"/>
    <hyperlink ref="K39" r:id="rId32" xr:uid="{00000000-0004-0000-0200-000025000000}"/>
    <hyperlink ref="K40" r:id="rId33" xr:uid="{00000000-0004-0000-0200-000026000000}"/>
    <hyperlink ref="K41" r:id="rId34" xr:uid="{00000000-0004-0000-0200-000027000000}"/>
    <hyperlink ref="K42" r:id="rId35" xr:uid="{00000000-0004-0000-0200-000028000000}"/>
    <hyperlink ref="K43" display="Open" xr:uid="{00000000-0004-0000-0200-000029000000}"/>
    <hyperlink ref="K44" display="Open" xr:uid="{00000000-0004-0000-0200-00002A000000}"/>
    <hyperlink ref="K45" r:id="rId36" xr:uid="{00000000-0004-0000-0200-00002B000000}"/>
    <hyperlink ref="K46" r:id="rId37" xr:uid="{00000000-0004-0000-0200-00002C000000}"/>
    <hyperlink ref="K47" r:id="rId38" xr:uid="{00000000-0004-0000-0200-00002D000000}"/>
    <hyperlink ref="K48" display="Open" xr:uid="{00000000-0004-0000-0200-00002E000000}"/>
    <hyperlink ref="K49" r:id="rId39" xr:uid="{00000000-0004-0000-0200-00002F000000}"/>
    <hyperlink ref="K50" r:id="rId40" xr:uid="{00000000-0004-0000-0200-000030000000}"/>
    <hyperlink ref="K51" r:id="rId41" xr:uid="{00000000-0004-0000-0200-000031000000}"/>
    <hyperlink ref="K52" r:id="rId42" xr:uid="{00000000-0004-0000-0200-000032000000}"/>
    <hyperlink ref="K53" r:id="rId43" xr:uid="{00000000-0004-0000-0200-000033000000}"/>
    <hyperlink ref="K54" r:id="rId44" xr:uid="{00000000-0004-0000-0200-000034000000}"/>
    <hyperlink ref="K55" display="Open" xr:uid="{00000000-0004-0000-0200-000035000000}"/>
    <hyperlink ref="K56" display="Open" xr:uid="{00000000-0004-0000-0200-000036000000}"/>
    <hyperlink ref="K57" r:id="rId45" xr:uid="{00000000-0004-0000-0200-000037000000}"/>
    <hyperlink ref="K58" r:id="rId46" xr:uid="{00000000-0004-0000-0200-000038000000}"/>
    <hyperlink ref="K59" r:id="rId47" xr:uid="{00000000-0004-0000-0200-000039000000}"/>
    <hyperlink ref="K60" r:id="rId48" xr:uid="{00000000-0004-0000-0200-00003A000000}"/>
    <hyperlink ref="K61" r:id="rId49" xr:uid="{00000000-0004-0000-0200-00003B000000}"/>
    <hyperlink ref="K62" r:id="rId50" xr:uid="{00000000-0004-0000-0200-00003C000000}"/>
    <hyperlink ref="K63" r:id="rId51" xr:uid="{00000000-0004-0000-0200-00003D000000}"/>
    <hyperlink ref="K64" r:id="rId52" xr:uid="{00000000-0004-0000-0200-00003E000000}"/>
    <hyperlink ref="K65" r:id="rId53" xr:uid="{00000000-0004-0000-0200-00003F000000}"/>
    <hyperlink ref="K66" r:id="rId54" xr:uid="{00000000-0004-0000-0200-000040000000}"/>
    <hyperlink ref="K67" r:id="rId55" xr:uid="{00000000-0004-0000-0200-000041000000}"/>
    <hyperlink ref="K68" r:id="rId56" xr:uid="{00000000-0004-0000-0200-000042000000}"/>
    <hyperlink ref="K69" r:id="rId57" xr:uid="{00000000-0004-0000-0200-000043000000}"/>
    <hyperlink ref="K70" r:id="rId58" xr:uid="{00000000-0004-0000-0200-000044000000}"/>
    <hyperlink ref="K71" r:id="rId59" xr:uid="{00000000-0004-0000-0200-000045000000}"/>
    <hyperlink ref="K72" r:id="rId60" xr:uid="{00000000-0004-0000-0200-000046000000}"/>
    <hyperlink ref="K73" r:id="rId61" xr:uid="{00000000-0004-0000-0200-000047000000}"/>
    <hyperlink ref="K74" r:id="rId62" xr:uid="{00000000-0004-0000-0200-000048000000}"/>
    <hyperlink ref="K75" r:id="rId63" xr:uid="{00000000-0004-0000-0200-000049000000}"/>
    <hyperlink ref="K76" r:id="rId64" xr:uid="{00000000-0004-0000-0200-00004A000000}"/>
    <hyperlink ref="K77" r:id="rId65" xr:uid="{00000000-0004-0000-0200-00004B000000}"/>
    <hyperlink ref="K78" r:id="rId66" xr:uid="{00000000-0004-0000-0200-00004C000000}"/>
    <hyperlink ref="K79" r:id="rId67" xr:uid="{00000000-0004-0000-0200-00004D000000}"/>
    <hyperlink ref="K80" r:id="rId68" xr:uid="{00000000-0004-0000-0200-00004E000000}"/>
    <hyperlink ref="K81" r:id="rId69" xr:uid="{00000000-0004-0000-0200-00004F000000}"/>
    <hyperlink ref="K82" r:id="rId70" xr:uid="{00000000-0004-0000-0200-000050000000}"/>
    <hyperlink ref="K83" r:id="rId71" xr:uid="{00000000-0004-0000-0200-000051000000}"/>
    <hyperlink ref="K84" r:id="rId72" xr:uid="{00000000-0004-0000-0200-000052000000}"/>
    <hyperlink ref="K85" display="Open" xr:uid="{00000000-0004-0000-0200-000053000000}"/>
    <hyperlink ref="K86" r:id="rId73" xr:uid="{00000000-0004-0000-0200-000054000000}"/>
    <hyperlink ref="K87" r:id="rId74" xr:uid="{00000000-0004-0000-0200-000055000000}"/>
    <hyperlink ref="K88" r:id="rId75" xr:uid="{00000000-0004-0000-0200-000056000000}"/>
    <hyperlink ref="K89" r:id="rId76" xr:uid="{00000000-0004-0000-0200-000057000000}"/>
    <hyperlink ref="K90" r:id="rId77" xr:uid="{00000000-0004-0000-0200-000058000000}"/>
    <hyperlink ref="K91" r:id="rId78" xr:uid="{00000000-0004-0000-0200-000059000000}"/>
    <hyperlink ref="K92" r:id="rId79" xr:uid="{00000000-0004-0000-0200-00005A000000}"/>
    <hyperlink ref="K93" r:id="rId80" xr:uid="{00000000-0004-0000-0200-00005B000000}"/>
    <hyperlink ref="K94" r:id="rId81" xr:uid="{00000000-0004-0000-0200-00005C000000}"/>
    <hyperlink ref="K95" r:id="rId82" xr:uid="{00000000-0004-0000-0200-00005D000000}"/>
    <hyperlink ref="K96" r:id="rId83" xr:uid="{00000000-0004-0000-0200-00005E000000}"/>
    <hyperlink ref="K97" r:id="rId84" xr:uid="{00000000-0004-0000-0200-00005F000000}"/>
    <hyperlink ref="K98" r:id="rId85" xr:uid="{00000000-0004-0000-0200-000060000000}"/>
    <hyperlink ref="K99" r:id="rId86" xr:uid="{00000000-0004-0000-0200-000061000000}"/>
    <hyperlink ref="K100" r:id="rId87" xr:uid="{00000000-0004-0000-0200-000062000000}"/>
    <hyperlink ref="K101" r:id="rId88" xr:uid="{00000000-0004-0000-0200-000063000000}"/>
    <hyperlink ref="K102" r:id="rId89" xr:uid="{00000000-0004-0000-0200-000064000000}"/>
    <hyperlink ref="K103" r:id="rId90" xr:uid="{00000000-0004-0000-0200-000065000000}"/>
    <hyperlink ref="K104" r:id="rId91" xr:uid="{00000000-0004-0000-0200-000066000000}"/>
    <hyperlink ref="K105" r:id="rId92" xr:uid="{00000000-0004-0000-0200-000067000000}"/>
    <hyperlink ref="K106" r:id="rId93" xr:uid="{00000000-0004-0000-0200-000068000000}"/>
    <hyperlink ref="K107" r:id="rId94" xr:uid="{00000000-0004-0000-0200-000069000000}"/>
    <hyperlink ref="K108" r:id="rId95" xr:uid="{00000000-0004-0000-0200-00006A000000}"/>
    <hyperlink ref="K109" r:id="rId96" xr:uid="{00000000-0004-0000-0200-00006B000000}"/>
    <hyperlink ref="K110" r:id="rId97" xr:uid="{00000000-0004-0000-0200-00006C000000}"/>
    <hyperlink ref="K111" r:id="rId98" xr:uid="{00000000-0004-0000-0200-00006D000000}"/>
    <hyperlink ref="K112" r:id="rId99" xr:uid="{00000000-0004-0000-0200-00006E000000}"/>
    <hyperlink ref="K113" r:id="rId100" xr:uid="{00000000-0004-0000-0200-00006F000000}"/>
    <hyperlink ref="K114" r:id="rId101" xr:uid="{00000000-0004-0000-0200-000070000000}"/>
    <hyperlink ref="K115" r:id="rId102" xr:uid="{00000000-0004-0000-0200-000071000000}"/>
    <hyperlink ref="K116" r:id="rId103" xr:uid="{00000000-0004-0000-0200-000072000000}"/>
    <hyperlink ref="K117" r:id="rId104" xr:uid="{00000000-0004-0000-0200-000073000000}"/>
    <hyperlink ref="K118" r:id="rId105" xr:uid="{00000000-0004-0000-0200-000074000000}"/>
    <hyperlink ref="K119" r:id="rId106" xr:uid="{00000000-0004-0000-0200-000075000000}"/>
    <hyperlink ref="K120" r:id="rId107" xr:uid="{00000000-0004-0000-0200-000076000000}"/>
    <hyperlink ref="K121" r:id="rId108" xr:uid="{00000000-0004-0000-0200-000077000000}"/>
    <hyperlink ref="K122" r:id="rId109" xr:uid="{00000000-0004-0000-0200-000078000000}"/>
    <hyperlink ref="K123" r:id="rId110" xr:uid="{00000000-0004-0000-0200-000079000000}"/>
    <hyperlink ref="K124" r:id="rId111" xr:uid="{00000000-0004-0000-0200-00007A000000}"/>
    <hyperlink ref="K125" r:id="rId112" xr:uid="{00000000-0004-0000-0200-00007B000000}"/>
    <hyperlink ref="K126" r:id="rId113" xr:uid="{00000000-0004-0000-0200-00007C000000}"/>
    <hyperlink ref="K127" r:id="rId114" xr:uid="{00000000-0004-0000-0200-00007D000000}"/>
    <hyperlink ref="K128" r:id="rId115" xr:uid="{00000000-0004-0000-0200-00007E000000}"/>
    <hyperlink ref="K129" r:id="rId116" xr:uid="{00000000-0004-0000-0200-00007F000000}"/>
    <hyperlink ref="K130" r:id="rId117" xr:uid="{00000000-0004-0000-0200-000080000000}"/>
    <hyperlink ref="K131" r:id="rId118" xr:uid="{00000000-0004-0000-0200-000081000000}"/>
    <hyperlink ref="K132" r:id="rId119" xr:uid="{00000000-0004-0000-0200-000082000000}"/>
    <hyperlink ref="K133" r:id="rId120" xr:uid="{00000000-0004-0000-0200-000083000000}"/>
    <hyperlink ref="K134" r:id="rId121" xr:uid="{00000000-0004-0000-0200-000084000000}"/>
    <hyperlink ref="K135" r:id="rId122" xr:uid="{00000000-0004-0000-0200-000085000000}"/>
    <hyperlink ref="K136" r:id="rId123" xr:uid="{00000000-0004-0000-0200-000086000000}"/>
    <hyperlink ref="K137" r:id="rId124" xr:uid="{00000000-0004-0000-0200-000087000000}"/>
    <hyperlink ref="K138" r:id="rId125" xr:uid="{00000000-0004-0000-0200-000088000000}"/>
    <hyperlink ref="K139" display="Open" xr:uid="{00000000-0004-0000-0200-000089000000}"/>
    <hyperlink ref="K140" r:id="rId126" xr:uid="{00000000-0004-0000-0200-00008A000000}"/>
    <hyperlink ref="K141" r:id="rId127" xr:uid="{00000000-0004-0000-0200-00008B000000}"/>
    <hyperlink ref="K142" r:id="rId128" xr:uid="{00000000-0004-0000-0200-00008C000000}"/>
    <hyperlink ref="K143" r:id="rId129" xr:uid="{00000000-0004-0000-0200-00008D000000}"/>
    <hyperlink ref="K144" r:id="rId130" xr:uid="{00000000-0004-0000-0200-00008E000000}"/>
    <hyperlink ref="K145" r:id="rId131" xr:uid="{00000000-0004-0000-0200-00008F000000}"/>
    <hyperlink ref="K146" display="Open" xr:uid="{00000000-0004-0000-0200-000090000000}"/>
    <hyperlink ref="K147" r:id="rId132" xr:uid="{00000000-0004-0000-0200-000091000000}"/>
    <hyperlink ref="K148" r:id="rId133" xr:uid="{00000000-0004-0000-0200-000092000000}"/>
    <hyperlink ref="K149" r:id="rId134" xr:uid="{00000000-0004-0000-0200-000093000000}"/>
    <hyperlink ref="K150" r:id="rId135" xr:uid="{00000000-0004-0000-0200-000094000000}"/>
    <hyperlink ref="K151" r:id="rId136" xr:uid="{00000000-0004-0000-0200-000095000000}"/>
    <hyperlink ref="K152" r:id="rId137" xr:uid="{00000000-0004-0000-0200-000096000000}"/>
    <hyperlink ref="K153" r:id="rId138" xr:uid="{00000000-0004-0000-0200-000097000000}"/>
    <hyperlink ref="K154" r:id="rId139" xr:uid="{00000000-0004-0000-0200-000098000000}"/>
    <hyperlink ref="K155" r:id="rId140" xr:uid="{00000000-0004-0000-0200-000099000000}"/>
    <hyperlink ref="K156" r:id="rId141" xr:uid="{00000000-0004-0000-0200-00009A000000}"/>
    <hyperlink ref="K157" r:id="rId142" xr:uid="{00000000-0004-0000-0200-00009B000000}"/>
    <hyperlink ref="K158" r:id="rId143" xr:uid="{00000000-0004-0000-0200-00009C000000}"/>
    <hyperlink ref="K159" r:id="rId144" xr:uid="{00000000-0004-0000-0200-00009D000000}"/>
    <hyperlink ref="K160" r:id="rId145" xr:uid="{00000000-0004-0000-0200-00009E000000}"/>
    <hyperlink ref="K161" r:id="rId146" xr:uid="{00000000-0004-0000-0200-00009F000000}"/>
    <hyperlink ref="K162" r:id="rId147" xr:uid="{00000000-0004-0000-0200-0000A0000000}"/>
    <hyperlink ref="K163" r:id="rId148" xr:uid="{00000000-0004-0000-0200-0000A1000000}"/>
    <hyperlink ref="K164" r:id="rId149" xr:uid="{00000000-0004-0000-0200-0000A2000000}"/>
    <hyperlink ref="K165" r:id="rId150" xr:uid="{00000000-0004-0000-0200-0000A3000000}"/>
    <hyperlink ref="K166" r:id="rId151" xr:uid="{00000000-0004-0000-0200-0000A4000000}"/>
    <hyperlink ref="K167" r:id="rId152" xr:uid="{00000000-0004-0000-0200-0000A5000000}"/>
    <hyperlink ref="K168" r:id="rId153" xr:uid="{00000000-0004-0000-0200-0000A6000000}"/>
    <hyperlink ref="K169" r:id="rId154" xr:uid="{00000000-0004-0000-0200-0000A7000000}"/>
    <hyperlink ref="K170" r:id="rId155" xr:uid="{00000000-0004-0000-0200-0000A8000000}"/>
    <hyperlink ref="K171" r:id="rId156" xr:uid="{00000000-0004-0000-0200-0000A9000000}"/>
    <hyperlink ref="K172" r:id="rId157" xr:uid="{00000000-0004-0000-0200-0000AA000000}"/>
    <hyperlink ref="K173" r:id="rId158" xr:uid="{00000000-0004-0000-0200-0000AB000000}"/>
    <hyperlink ref="K174" r:id="rId159" xr:uid="{00000000-0004-0000-0200-0000AC000000}"/>
    <hyperlink ref="K175" r:id="rId160" xr:uid="{00000000-0004-0000-0200-0000AD000000}"/>
    <hyperlink ref="K176" r:id="rId161" xr:uid="{00000000-0004-0000-0200-0000AE000000}"/>
    <hyperlink ref="K177" display="Open" xr:uid="{00000000-0004-0000-0200-0000AF000000}"/>
    <hyperlink ref="K178" r:id="rId162" xr:uid="{00000000-0004-0000-0200-0000B0000000}"/>
    <hyperlink ref="K179" r:id="rId163" xr:uid="{00000000-0004-0000-0200-0000B1000000}"/>
    <hyperlink ref="K180" r:id="rId164" xr:uid="{00000000-0004-0000-0200-0000B2000000}"/>
    <hyperlink ref="K181" r:id="rId165" xr:uid="{00000000-0004-0000-0200-0000B3000000}"/>
    <hyperlink ref="K182" r:id="rId166" xr:uid="{00000000-0004-0000-0200-0000B4000000}"/>
    <hyperlink ref="K183" r:id="rId167" xr:uid="{00000000-0004-0000-0200-0000B5000000}"/>
    <hyperlink ref="K184" r:id="rId168" xr:uid="{00000000-0004-0000-0200-0000B6000000}"/>
    <hyperlink ref="K185" r:id="rId169" xr:uid="{00000000-0004-0000-0200-0000B7000000}"/>
    <hyperlink ref="K186" r:id="rId170" xr:uid="{00000000-0004-0000-0200-0000B8000000}"/>
    <hyperlink ref="K187" r:id="rId171" xr:uid="{00000000-0004-0000-0200-0000B9000000}"/>
    <hyperlink ref="K188" display="Open" xr:uid="{00000000-0004-0000-0200-0000BA000000}"/>
    <hyperlink ref="K189" r:id="rId172" xr:uid="{00000000-0004-0000-0200-0000BB000000}"/>
    <hyperlink ref="K190" display="Open" xr:uid="{00000000-0004-0000-0200-0000BC000000}"/>
    <hyperlink ref="K191" r:id="rId173" xr:uid="{00000000-0004-0000-0200-0000BD000000}"/>
    <hyperlink ref="K192" r:id="rId174" xr:uid="{00000000-0004-0000-0200-0000BE000000}"/>
    <hyperlink ref="K193" r:id="rId175" xr:uid="{00000000-0004-0000-0200-0000BF000000}"/>
    <hyperlink ref="K194" r:id="rId176" xr:uid="{00000000-0004-0000-0200-0000C0000000}"/>
    <hyperlink ref="K195" r:id="rId177" xr:uid="{00000000-0004-0000-0200-0000C1000000}"/>
    <hyperlink ref="K196" r:id="rId178" xr:uid="{00000000-0004-0000-0200-0000C2000000}"/>
    <hyperlink ref="K197" r:id="rId179" xr:uid="{00000000-0004-0000-0200-0000C3000000}"/>
    <hyperlink ref="K198" r:id="rId180" xr:uid="{00000000-0004-0000-0200-0000C4000000}"/>
    <hyperlink ref="K199" r:id="rId181" xr:uid="{00000000-0004-0000-0200-0000C5000000}"/>
    <hyperlink ref="K200" r:id="rId182" xr:uid="{00000000-0004-0000-0200-0000C6000000}"/>
    <hyperlink ref="K201" r:id="rId183" xr:uid="{00000000-0004-0000-0200-0000C7000000}"/>
    <hyperlink ref="K202" r:id="rId184" xr:uid="{00000000-0004-0000-0200-0000C8000000}"/>
    <hyperlink ref="K203" r:id="rId185" xr:uid="{00000000-0004-0000-0200-0000C9000000}"/>
    <hyperlink ref="K204" r:id="rId186" xr:uid="{00000000-0004-0000-0200-0000CA000000}"/>
    <hyperlink ref="K205" r:id="rId187" xr:uid="{00000000-0004-0000-0200-0000CB000000}"/>
    <hyperlink ref="K206" r:id="rId188" xr:uid="{00000000-0004-0000-0200-0000CC000000}"/>
    <hyperlink ref="K207" r:id="rId189" xr:uid="{00000000-0004-0000-0200-0000CD000000}"/>
    <hyperlink ref="K208" r:id="rId190" xr:uid="{00000000-0004-0000-0200-0000CE000000}"/>
    <hyperlink ref="K209" r:id="rId191" xr:uid="{00000000-0004-0000-0200-0000CF000000}"/>
    <hyperlink ref="K210" r:id="rId192" xr:uid="{00000000-0004-0000-0200-0000D0000000}"/>
    <hyperlink ref="K211" r:id="rId193" xr:uid="{00000000-0004-0000-0200-0000D1000000}"/>
    <hyperlink ref="K212" r:id="rId194" xr:uid="{00000000-0004-0000-0200-0000D2000000}"/>
    <hyperlink ref="K213" r:id="rId195" xr:uid="{00000000-0004-0000-0200-0000D3000000}"/>
    <hyperlink ref="K214" r:id="rId196" xr:uid="{00000000-0004-0000-0200-0000D4000000}"/>
    <hyperlink ref="K215" r:id="rId197" xr:uid="{00000000-0004-0000-0200-0000D5000000}"/>
    <hyperlink ref="K216" r:id="rId198" xr:uid="{00000000-0004-0000-0200-0000D6000000}"/>
    <hyperlink ref="K217" r:id="rId199" xr:uid="{00000000-0004-0000-0200-0000D7000000}"/>
    <hyperlink ref="K218" r:id="rId200" xr:uid="{00000000-0004-0000-0200-0000D8000000}"/>
    <hyperlink ref="K219" r:id="rId201" xr:uid="{00000000-0004-0000-0200-0000D9000000}"/>
    <hyperlink ref="K220" r:id="rId202" xr:uid="{00000000-0004-0000-0200-0000DA000000}"/>
    <hyperlink ref="K221" r:id="rId203" xr:uid="{00000000-0004-0000-0200-0000DB000000}"/>
    <hyperlink ref="K222" r:id="rId204" xr:uid="{00000000-0004-0000-0200-0000DC000000}"/>
    <hyperlink ref="K223" r:id="rId205" xr:uid="{00000000-0004-0000-0200-0000DD000000}"/>
    <hyperlink ref="K224" r:id="rId206" xr:uid="{00000000-0004-0000-0200-0000DE000000}"/>
    <hyperlink ref="K225" r:id="rId207" xr:uid="{00000000-0004-0000-0200-0000DF000000}"/>
    <hyperlink ref="K226" r:id="rId208" xr:uid="{00000000-0004-0000-0200-0000E0000000}"/>
    <hyperlink ref="K227" r:id="rId209" xr:uid="{00000000-0004-0000-0200-0000E1000000}"/>
    <hyperlink ref="K228" r:id="rId210" xr:uid="{00000000-0004-0000-0200-0000E2000000}"/>
    <hyperlink ref="K229" r:id="rId211" xr:uid="{00000000-0004-0000-0200-0000E3000000}"/>
    <hyperlink ref="K230" r:id="rId212" xr:uid="{00000000-0004-0000-0200-0000E4000000}"/>
    <hyperlink ref="K231" r:id="rId213" xr:uid="{00000000-0004-0000-0200-0000E5000000}"/>
    <hyperlink ref="K232" r:id="rId214" xr:uid="{00000000-0004-0000-0200-0000E6000000}"/>
    <hyperlink ref="K233" r:id="rId215" xr:uid="{00000000-0004-0000-0200-0000E7000000}"/>
    <hyperlink ref="K234" r:id="rId216" xr:uid="{00000000-0004-0000-0200-0000E8000000}"/>
    <hyperlink ref="K235" r:id="rId217" xr:uid="{00000000-0004-0000-0200-0000E9000000}"/>
    <hyperlink ref="K236" r:id="rId218" xr:uid="{00000000-0004-0000-0200-0000EA000000}"/>
    <hyperlink ref="K237" r:id="rId219" xr:uid="{00000000-0004-0000-0200-0000EB000000}"/>
    <hyperlink ref="K238" r:id="rId220" xr:uid="{00000000-0004-0000-0200-0000EC000000}"/>
    <hyperlink ref="K239" display="Open" xr:uid="{00000000-0004-0000-0200-0000ED000000}"/>
    <hyperlink ref="K240" r:id="rId221" xr:uid="{00000000-0004-0000-0200-0000EE000000}"/>
    <hyperlink ref="K241" r:id="rId222" xr:uid="{00000000-0004-0000-0200-0000EF000000}"/>
    <hyperlink ref="K242" r:id="rId223" xr:uid="{00000000-0004-0000-0200-0000F0000000}"/>
    <hyperlink ref="K243" r:id="rId224" xr:uid="{00000000-0004-0000-0200-0000F1000000}"/>
    <hyperlink ref="K244" r:id="rId225" xr:uid="{00000000-0004-0000-0200-0000F2000000}"/>
    <hyperlink ref="K245" r:id="rId226" xr:uid="{00000000-0004-0000-0200-0000F3000000}"/>
    <hyperlink ref="K246" r:id="rId227" xr:uid="{00000000-0004-0000-0200-0000F4000000}"/>
    <hyperlink ref="K247" r:id="rId228" xr:uid="{00000000-0004-0000-0200-0000F5000000}"/>
    <hyperlink ref="K248" r:id="rId229" xr:uid="{00000000-0004-0000-0200-0000F6000000}"/>
    <hyperlink ref="K249" display="Open" xr:uid="{00000000-0004-0000-0200-0000F7000000}"/>
    <hyperlink ref="K250" r:id="rId230" xr:uid="{00000000-0004-0000-0200-0000F8000000}"/>
    <hyperlink ref="K251" r:id="rId231" xr:uid="{00000000-0004-0000-0200-0000F9000000}"/>
    <hyperlink ref="K252" r:id="rId232" xr:uid="{00000000-0004-0000-0200-0000FA000000}"/>
    <hyperlink ref="K253" r:id="rId233" xr:uid="{00000000-0004-0000-0200-0000FB000000}"/>
    <hyperlink ref="K254" r:id="rId234" xr:uid="{00000000-0004-0000-0200-0000FC000000}"/>
    <hyperlink ref="K255" r:id="rId235" xr:uid="{00000000-0004-0000-0200-0000FD000000}"/>
    <hyperlink ref="K256" display="Open" xr:uid="{00000000-0004-0000-0200-0000FE000000}"/>
    <hyperlink ref="K257" r:id="rId236" xr:uid="{00000000-0004-0000-0200-0000FF000000}"/>
    <hyperlink ref="K258" display="Open" xr:uid="{00000000-0004-0000-0200-000000010000}"/>
    <hyperlink ref="K259" display="Open" xr:uid="{00000000-0004-0000-0200-000001010000}"/>
    <hyperlink ref="K260" r:id="rId237" xr:uid="{00000000-0004-0000-0200-000002010000}"/>
    <hyperlink ref="K261" r:id="rId238" xr:uid="{00000000-0004-0000-0200-000003010000}"/>
    <hyperlink ref="K262" r:id="rId239" xr:uid="{00000000-0004-0000-0200-000004010000}"/>
    <hyperlink ref="K263" r:id="rId240" xr:uid="{00000000-0004-0000-0200-000005010000}"/>
    <hyperlink ref="K264" r:id="rId241" xr:uid="{00000000-0004-0000-0200-000006010000}"/>
    <hyperlink ref="K265" r:id="rId242" xr:uid="{00000000-0004-0000-0200-000007010000}"/>
    <hyperlink ref="K266" r:id="rId243" xr:uid="{00000000-0004-0000-0200-000008010000}"/>
    <hyperlink ref="K267" r:id="rId244" xr:uid="{00000000-0004-0000-0200-000009010000}"/>
    <hyperlink ref="K268" r:id="rId245" xr:uid="{00000000-0004-0000-0200-00000A010000}"/>
    <hyperlink ref="K269" r:id="rId246" xr:uid="{00000000-0004-0000-0200-00000B010000}"/>
    <hyperlink ref="K270" r:id="rId247" xr:uid="{00000000-0004-0000-0200-00000C010000}"/>
    <hyperlink ref="K271" r:id="rId248" xr:uid="{00000000-0004-0000-0200-00000D010000}"/>
    <hyperlink ref="K272" r:id="rId249" xr:uid="{00000000-0004-0000-0200-00000E010000}"/>
    <hyperlink ref="K273" r:id="rId250" xr:uid="{00000000-0004-0000-0200-00000F010000}"/>
    <hyperlink ref="K274" r:id="rId251" xr:uid="{00000000-0004-0000-0200-000010010000}"/>
    <hyperlink ref="K275" r:id="rId252" xr:uid="{00000000-0004-0000-0200-000011010000}"/>
    <hyperlink ref="K276" r:id="rId253" xr:uid="{00000000-0004-0000-0200-000012010000}"/>
    <hyperlink ref="K277" r:id="rId254" xr:uid="{00000000-0004-0000-0200-000013010000}"/>
    <hyperlink ref="K278" r:id="rId255" xr:uid="{00000000-0004-0000-0200-000014010000}"/>
    <hyperlink ref="K279" r:id="rId256" xr:uid="{00000000-0004-0000-0200-000015010000}"/>
    <hyperlink ref="K280" r:id="rId257" xr:uid="{00000000-0004-0000-0200-000016010000}"/>
    <hyperlink ref="K281" r:id="rId258" xr:uid="{00000000-0004-0000-0200-000017010000}"/>
    <hyperlink ref="K282" r:id="rId259" xr:uid="{00000000-0004-0000-0200-000018010000}"/>
    <hyperlink ref="K283" r:id="rId260" xr:uid="{00000000-0004-0000-0200-000019010000}"/>
    <hyperlink ref="K284" r:id="rId261" xr:uid="{00000000-0004-0000-0200-00001A010000}"/>
    <hyperlink ref="K285" r:id="rId262" xr:uid="{00000000-0004-0000-0200-00001B010000}"/>
    <hyperlink ref="K286" r:id="rId263" xr:uid="{00000000-0004-0000-0200-00001C010000}"/>
    <hyperlink ref="K287" r:id="rId264" xr:uid="{00000000-0004-0000-0200-00001D010000}"/>
    <hyperlink ref="K288" r:id="rId265" xr:uid="{00000000-0004-0000-0200-00001E010000}"/>
    <hyperlink ref="K289" r:id="rId266" xr:uid="{00000000-0004-0000-0200-00001F010000}"/>
    <hyperlink ref="K290" r:id="rId267" xr:uid="{00000000-0004-0000-0200-000020010000}"/>
    <hyperlink ref="K291" r:id="rId268" xr:uid="{00000000-0004-0000-0200-000021010000}"/>
    <hyperlink ref="K292" r:id="rId269" xr:uid="{00000000-0004-0000-0200-000022010000}"/>
    <hyperlink ref="K293" r:id="rId270" xr:uid="{00000000-0004-0000-0200-000023010000}"/>
    <hyperlink ref="K294" r:id="rId271" xr:uid="{00000000-0004-0000-0200-000024010000}"/>
    <hyperlink ref="K295" r:id="rId272" xr:uid="{00000000-0004-0000-0200-000025010000}"/>
    <hyperlink ref="K296" r:id="rId273" xr:uid="{00000000-0004-0000-0200-000026010000}"/>
  </hyperlink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382"/>
  <sheetViews>
    <sheetView topLeftCell="A381" workbookViewId="0">
      <selection activeCell="B1" sqref="B1"/>
    </sheetView>
  </sheetViews>
  <sheetFormatPr defaultRowHeight="14.1" x14ac:dyDescent="0.5"/>
  <cols>
    <col min="2" max="2" width="8.796875" style="74" customWidth="1"/>
    <col min="4" max="4" width="16.69921875" style="63" customWidth="1"/>
  </cols>
  <sheetData>
    <row r="1" spans="1:20" ht="31.5" customHeight="1" x14ac:dyDescent="0.5">
      <c r="A1" s="156" t="s">
        <v>87</v>
      </c>
      <c r="B1" s="156"/>
      <c r="C1" s="155" t="s">
        <v>276</v>
      </c>
      <c r="D1" s="156" t="s">
        <v>282</v>
      </c>
      <c r="E1" s="156" t="s">
        <v>277</v>
      </c>
      <c r="F1" s="156" t="s">
        <v>808</v>
      </c>
      <c r="G1" s="156" t="s">
        <v>809</v>
      </c>
      <c r="H1" s="156" t="s">
        <v>81</v>
      </c>
      <c r="I1" s="156" t="s">
        <v>275</v>
      </c>
      <c r="J1" s="156" t="s">
        <v>810</v>
      </c>
      <c r="K1" s="157">
        <v>1</v>
      </c>
      <c r="L1" s="156" t="s">
        <v>811</v>
      </c>
      <c r="M1" s="156" t="s">
        <v>812</v>
      </c>
      <c r="N1" s="156" t="s">
        <v>813</v>
      </c>
      <c r="O1" s="156" t="s">
        <v>808</v>
      </c>
      <c r="P1" s="156" t="s">
        <v>813</v>
      </c>
      <c r="Q1" s="156"/>
      <c r="R1" s="158"/>
      <c r="S1" s="156"/>
      <c r="T1" s="155" t="s">
        <v>261</v>
      </c>
    </row>
    <row r="2" spans="1:20" ht="31.5" customHeight="1" x14ac:dyDescent="0.5">
      <c r="A2" s="160" t="s">
        <v>283</v>
      </c>
      <c r="B2" s="160"/>
      <c r="C2" s="159" t="s">
        <v>285</v>
      </c>
      <c r="D2" s="160" t="s">
        <v>288</v>
      </c>
      <c r="E2" s="160" t="s">
        <v>277</v>
      </c>
      <c r="F2" s="160" t="s">
        <v>814</v>
      </c>
      <c r="G2" s="160" t="s">
        <v>815</v>
      </c>
      <c r="H2" s="160" t="s">
        <v>81</v>
      </c>
      <c r="I2" s="160" t="s">
        <v>284</v>
      </c>
      <c r="J2" s="160" t="s">
        <v>110</v>
      </c>
      <c r="K2" s="161">
        <v>8</v>
      </c>
      <c r="L2" s="160" t="s">
        <v>816</v>
      </c>
      <c r="M2" s="160" t="s">
        <v>815</v>
      </c>
      <c r="N2" s="160" t="s">
        <v>814</v>
      </c>
      <c r="O2" s="160" t="s">
        <v>817</v>
      </c>
      <c r="P2" s="160" t="s">
        <v>818</v>
      </c>
      <c r="Q2" s="160"/>
      <c r="R2" s="162" t="s">
        <v>278</v>
      </c>
      <c r="S2" s="160"/>
      <c r="T2" s="159" t="s">
        <v>261</v>
      </c>
    </row>
    <row r="3" spans="1:20" ht="42" customHeight="1" x14ac:dyDescent="0.5">
      <c r="A3" s="156" t="s">
        <v>87</v>
      </c>
      <c r="B3" s="156"/>
      <c r="C3" s="155" t="s">
        <v>819</v>
      </c>
      <c r="D3" s="156" t="s">
        <v>282</v>
      </c>
      <c r="E3" s="156" t="s">
        <v>820</v>
      </c>
      <c r="F3" s="156" t="s">
        <v>821</v>
      </c>
      <c r="G3" s="156" t="s">
        <v>822</v>
      </c>
      <c r="H3" s="156" t="s">
        <v>81</v>
      </c>
      <c r="I3" s="156" t="s">
        <v>352</v>
      </c>
      <c r="J3" s="156" t="s">
        <v>110</v>
      </c>
      <c r="K3" s="157">
        <v>5</v>
      </c>
      <c r="L3" s="156"/>
      <c r="M3" s="156"/>
      <c r="N3" s="156"/>
      <c r="O3" s="156"/>
      <c r="P3" s="156"/>
      <c r="Q3" s="156"/>
      <c r="R3" s="158"/>
      <c r="S3" s="156"/>
      <c r="T3" s="155" t="s">
        <v>261</v>
      </c>
    </row>
    <row r="4" spans="1:20" ht="31.5" customHeight="1" x14ac:dyDescent="0.5">
      <c r="A4" s="160" t="s">
        <v>283</v>
      </c>
      <c r="B4" s="160"/>
      <c r="C4" s="159" t="s">
        <v>290</v>
      </c>
      <c r="D4" s="160" t="s">
        <v>288</v>
      </c>
      <c r="E4" s="160" t="s">
        <v>277</v>
      </c>
      <c r="F4" s="160" t="s">
        <v>823</v>
      </c>
      <c r="G4" s="160" t="s">
        <v>824</v>
      </c>
      <c r="H4" s="160" t="s">
        <v>81</v>
      </c>
      <c r="I4" s="160" t="s">
        <v>289</v>
      </c>
      <c r="J4" s="160" t="s">
        <v>825</v>
      </c>
      <c r="K4" s="161">
        <v>16</v>
      </c>
      <c r="L4" s="160" t="s">
        <v>816</v>
      </c>
      <c r="M4" s="160" t="s">
        <v>826</v>
      </c>
      <c r="N4" s="160" t="s">
        <v>827</v>
      </c>
      <c r="O4" s="160" t="s">
        <v>828</v>
      </c>
      <c r="P4" s="160" t="s">
        <v>818</v>
      </c>
      <c r="Q4" s="160">
        <v>3.37</v>
      </c>
      <c r="R4" s="162"/>
      <c r="S4" s="160"/>
      <c r="T4" s="159" t="s">
        <v>261</v>
      </c>
    </row>
    <row r="5" spans="1:20" ht="31.5" customHeight="1" x14ac:dyDescent="0.5">
      <c r="A5" s="156" t="s">
        <v>292</v>
      </c>
      <c r="B5" s="156"/>
      <c r="C5" s="155" t="s">
        <v>829</v>
      </c>
      <c r="D5" s="156" t="s">
        <v>282</v>
      </c>
      <c r="E5" s="156" t="s">
        <v>830</v>
      </c>
      <c r="F5" s="156" t="s">
        <v>823</v>
      </c>
      <c r="G5" s="156" t="s">
        <v>831</v>
      </c>
      <c r="H5" s="156" t="s">
        <v>81</v>
      </c>
      <c r="I5" s="156" t="s">
        <v>832</v>
      </c>
      <c r="J5" s="156" t="s">
        <v>810</v>
      </c>
      <c r="K5" s="157">
        <v>2</v>
      </c>
      <c r="L5" s="156" t="s">
        <v>833</v>
      </c>
      <c r="M5" s="156" t="s">
        <v>834</v>
      </c>
      <c r="N5" s="156"/>
      <c r="O5" s="156"/>
      <c r="P5" s="156"/>
      <c r="Q5" s="156"/>
      <c r="R5" s="158"/>
      <c r="S5" s="156"/>
      <c r="T5" s="155" t="s">
        <v>261</v>
      </c>
    </row>
    <row r="6" spans="1:20" ht="31.5" customHeight="1" x14ac:dyDescent="0.5">
      <c r="A6" s="160" t="s">
        <v>292</v>
      </c>
      <c r="B6" s="160"/>
      <c r="C6" s="159" t="s">
        <v>835</v>
      </c>
      <c r="D6" s="160" t="s">
        <v>282</v>
      </c>
      <c r="E6" s="160" t="s">
        <v>820</v>
      </c>
      <c r="F6" s="160" t="s">
        <v>823</v>
      </c>
      <c r="G6" s="160" t="s">
        <v>831</v>
      </c>
      <c r="H6" s="160" t="s">
        <v>81</v>
      </c>
      <c r="I6" s="160" t="s">
        <v>832</v>
      </c>
      <c r="J6" s="160" t="s">
        <v>810</v>
      </c>
      <c r="K6" s="161">
        <v>1</v>
      </c>
      <c r="L6" s="160"/>
      <c r="M6" s="160"/>
      <c r="N6" s="160"/>
      <c r="O6" s="160"/>
      <c r="P6" s="160"/>
      <c r="Q6" s="160"/>
      <c r="R6" s="162"/>
      <c r="S6" s="160"/>
      <c r="T6" s="159" t="s">
        <v>261</v>
      </c>
    </row>
    <row r="7" spans="1:20" ht="31.5" customHeight="1" x14ac:dyDescent="0.5">
      <c r="A7" s="156" t="s">
        <v>292</v>
      </c>
      <c r="B7" s="156"/>
      <c r="C7" s="155" t="s">
        <v>294</v>
      </c>
      <c r="D7" s="156" t="s">
        <v>282</v>
      </c>
      <c r="E7" s="156" t="s">
        <v>277</v>
      </c>
      <c r="F7" s="156" t="s">
        <v>836</v>
      </c>
      <c r="G7" s="156" t="s">
        <v>824</v>
      </c>
      <c r="H7" s="156" t="s">
        <v>81</v>
      </c>
      <c r="I7" s="156" t="s">
        <v>293</v>
      </c>
      <c r="J7" s="156" t="s">
        <v>825</v>
      </c>
      <c r="K7" s="157">
        <v>4</v>
      </c>
      <c r="L7" s="156" t="s">
        <v>837</v>
      </c>
      <c r="M7" s="156" t="s">
        <v>826</v>
      </c>
      <c r="N7" s="156" t="s">
        <v>838</v>
      </c>
      <c r="O7" s="156" t="s">
        <v>839</v>
      </c>
      <c r="P7" s="156" t="s">
        <v>818</v>
      </c>
      <c r="Q7" s="156"/>
      <c r="R7" s="158" t="s">
        <v>295</v>
      </c>
      <c r="S7" s="156" t="s">
        <v>840</v>
      </c>
      <c r="T7" s="155" t="s">
        <v>261</v>
      </c>
    </row>
    <row r="8" spans="1:20" ht="31.5" customHeight="1" x14ac:dyDescent="0.5">
      <c r="A8" s="160" t="s">
        <v>292</v>
      </c>
      <c r="B8" s="160"/>
      <c r="C8" s="159" t="s">
        <v>298</v>
      </c>
      <c r="D8" s="160" t="s">
        <v>282</v>
      </c>
      <c r="E8" s="160" t="s">
        <v>277</v>
      </c>
      <c r="F8" s="160" t="s">
        <v>841</v>
      </c>
      <c r="G8" s="160" t="s">
        <v>826</v>
      </c>
      <c r="H8" s="160" t="s">
        <v>81</v>
      </c>
      <c r="I8" s="160" t="s">
        <v>297</v>
      </c>
      <c r="J8" s="160" t="s">
        <v>110</v>
      </c>
      <c r="K8" s="161">
        <v>16</v>
      </c>
      <c r="L8" s="160" t="s">
        <v>842</v>
      </c>
      <c r="M8" s="160" t="s">
        <v>826</v>
      </c>
      <c r="N8" s="160" t="s">
        <v>841</v>
      </c>
      <c r="O8" s="160" t="s">
        <v>843</v>
      </c>
      <c r="P8" s="160" t="s">
        <v>818</v>
      </c>
      <c r="Q8" s="160"/>
      <c r="R8" s="162"/>
      <c r="S8" s="160"/>
      <c r="T8" s="159" t="s">
        <v>261</v>
      </c>
    </row>
    <row r="9" spans="1:20" ht="31.5" customHeight="1" x14ac:dyDescent="0.5">
      <c r="A9" s="156" t="s">
        <v>292</v>
      </c>
      <c r="B9" s="156"/>
      <c r="C9" s="155" t="s">
        <v>844</v>
      </c>
      <c r="D9" s="156" t="s">
        <v>282</v>
      </c>
      <c r="E9" s="156" t="s">
        <v>820</v>
      </c>
      <c r="F9" s="156" t="s">
        <v>845</v>
      </c>
      <c r="G9" s="156" t="s">
        <v>824</v>
      </c>
      <c r="H9" s="156" t="s">
        <v>81</v>
      </c>
      <c r="I9" s="156" t="s">
        <v>293</v>
      </c>
      <c r="J9" s="156" t="s">
        <v>825</v>
      </c>
      <c r="K9" s="157">
        <v>2</v>
      </c>
      <c r="L9" s="156"/>
      <c r="M9" s="156"/>
      <c r="N9" s="156"/>
      <c r="O9" s="156"/>
      <c r="P9" s="156"/>
      <c r="Q9" s="156"/>
      <c r="R9" s="158"/>
      <c r="S9" s="156" t="s">
        <v>840</v>
      </c>
      <c r="T9" s="155" t="s">
        <v>261</v>
      </c>
    </row>
    <row r="10" spans="1:20" ht="31.5" customHeight="1" x14ac:dyDescent="0.5">
      <c r="A10" s="160" t="s">
        <v>292</v>
      </c>
      <c r="B10" s="160"/>
      <c r="C10" s="159" t="s">
        <v>300</v>
      </c>
      <c r="D10" s="160" t="s">
        <v>282</v>
      </c>
      <c r="E10" s="160" t="s">
        <v>277</v>
      </c>
      <c r="F10" s="160" t="s">
        <v>846</v>
      </c>
      <c r="G10" s="160" t="s">
        <v>826</v>
      </c>
      <c r="H10" s="160" t="s">
        <v>81</v>
      </c>
      <c r="I10" s="160" t="s">
        <v>297</v>
      </c>
      <c r="J10" s="160" t="s">
        <v>110</v>
      </c>
      <c r="K10" s="161">
        <v>6</v>
      </c>
      <c r="L10" s="160" t="s">
        <v>847</v>
      </c>
      <c r="M10" s="160" t="s">
        <v>826</v>
      </c>
      <c r="N10" s="160" t="s">
        <v>848</v>
      </c>
      <c r="O10" s="160" t="s">
        <v>849</v>
      </c>
      <c r="P10" s="160" t="s">
        <v>818</v>
      </c>
      <c r="Q10" s="160"/>
      <c r="R10" s="162"/>
      <c r="S10" s="160"/>
      <c r="T10" s="159" t="s">
        <v>261</v>
      </c>
    </row>
    <row r="11" spans="1:20" ht="31.5" customHeight="1" x14ac:dyDescent="0.5">
      <c r="A11" s="156" t="s">
        <v>292</v>
      </c>
      <c r="B11" s="156"/>
      <c r="C11" s="155" t="s">
        <v>850</v>
      </c>
      <c r="D11" s="156" t="s">
        <v>282</v>
      </c>
      <c r="E11" s="156" t="s">
        <v>820</v>
      </c>
      <c r="F11" s="156" t="s">
        <v>846</v>
      </c>
      <c r="G11" s="156" t="s">
        <v>826</v>
      </c>
      <c r="H11" s="156" t="s">
        <v>81</v>
      </c>
      <c r="I11" s="156" t="s">
        <v>851</v>
      </c>
      <c r="J11" s="156" t="s">
        <v>110</v>
      </c>
      <c r="K11" s="157">
        <v>6</v>
      </c>
      <c r="L11" s="156"/>
      <c r="M11" s="156"/>
      <c r="N11" s="156"/>
      <c r="O11" s="156"/>
      <c r="P11" s="156"/>
      <c r="Q11" s="156"/>
      <c r="R11" s="158"/>
      <c r="S11" s="156"/>
      <c r="T11" s="155" t="s">
        <v>261</v>
      </c>
    </row>
    <row r="12" spans="1:20" ht="31.5" customHeight="1" x14ac:dyDescent="0.5">
      <c r="A12" s="160" t="s">
        <v>292</v>
      </c>
      <c r="B12" s="160"/>
      <c r="C12" s="159" t="s">
        <v>852</v>
      </c>
      <c r="D12" s="160" t="s">
        <v>282</v>
      </c>
      <c r="E12" s="160" t="s">
        <v>820</v>
      </c>
      <c r="F12" s="160" t="s">
        <v>853</v>
      </c>
      <c r="G12" s="160" t="s">
        <v>854</v>
      </c>
      <c r="H12" s="160" t="s">
        <v>81</v>
      </c>
      <c r="I12" s="160" t="s">
        <v>297</v>
      </c>
      <c r="J12" s="160" t="s">
        <v>110</v>
      </c>
      <c r="K12" s="161">
        <v>6</v>
      </c>
      <c r="L12" s="160"/>
      <c r="M12" s="160"/>
      <c r="N12" s="160"/>
      <c r="O12" s="160"/>
      <c r="P12" s="160"/>
      <c r="Q12" s="160"/>
      <c r="R12" s="162"/>
      <c r="S12" s="160"/>
      <c r="T12" s="159" t="s">
        <v>261</v>
      </c>
    </row>
    <row r="13" spans="1:20" ht="31.5" customHeight="1" x14ac:dyDescent="0.5">
      <c r="A13" s="156" t="s">
        <v>87</v>
      </c>
      <c r="B13" s="156"/>
      <c r="C13" s="155" t="s">
        <v>855</v>
      </c>
      <c r="D13" s="156" t="s">
        <v>282</v>
      </c>
      <c r="E13" s="156" t="s">
        <v>830</v>
      </c>
      <c r="F13" s="156" t="s">
        <v>856</v>
      </c>
      <c r="G13" s="156" t="s">
        <v>809</v>
      </c>
      <c r="H13" s="156" t="s">
        <v>81</v>
      </c>
      <c r="I13" s="156" t="s">
        <v>275</v>
      </c>
      <c r="J13" s="156" t="s">
        <v>810</v>
      </c>
      <c r="K13" s="157">
        <v>1</v>
      </c>
      <c r="L13" s="156" t="s">
        <v>811</v>
      </c>
      <c r="M13" s="156" t="s">
        <v>812</v>
      </c>
      <c r="N13" s="156" t="s">
        <v>813</v>
      </c>
      <c r="O13" s="156" t="s">
        <v>857</v>
      </c>
      <c r="P13" s="156"/>
      <c r="Q13" s="156"/>
      <c r="R13" s="158"/>
      <c r="S13" s="156"/>
      <c r="T13" s="155" t="s">
        <v>261</v>
      </c>
    </row>
    <row r="14" spans="1:20" ht="31.5" customHeight="1" x14ac:dyDescent="0.5">
      <c r="A14" s="160" t="s">
        <v>292</v>
      </c>
      <c r="B14" s="160"/>
      <c r="C14" s="159" t="s">
        <v>858</v>
      </c>
      <c r="D14" s="160" t="s">
        <v>282</v>
      </c>
      <c r="E14" s="160" t="s">
        <v>820</v>
      </c>
      <c r="F14" s="160" t="s">
        <v>856</v>
      </c>
      <c r="G14" s="160" t="s">
        <v>831</v>
      </c>
      <c r="H14" s="160" t="s">
        <v>81</v>
      </c>
      <c r="I14" s="160" t="s">
        <v>832</v>
      </c>
      <c r="J14" s="160" t="s">
        <v>859</v>
      </c>
      <c r="K14" s="161">
        <v>10</v>
      </c>
      <c r="L14" s="160"/>
      <c r="M14" s="160"/>
      <c r="N14" s="160"/>
      <c r="O14" s="160"/>
      <c r="P14" s="160"/>
      <c r="Q14" s="160"/>
      <c r="R14" s="162"/>
      <c r="S14" s="160"/>
      <c r="T14" s="159" t="s">
        <v>261</v>
      </c>
    </row>
    <row r="15" spans="1:20" ht="31.5" customHeight="1" x14ac:dyDescent="0.5">
      <c r="A15" s="156" t="s">
        <v>292</v>
      </c>
      <c r="B15" s="156"/>
      <c r="C15" s="155" t="s">
        <v>860</v>
      </c>
      <c r="D15" s="156" t="s">
        <v>282</v>
      </c>
      <c r="E15" s="156" t="s">
        <v>820</v>
      </c>
      <c r="F15" s="156" t="s">
        <v>861</v>
      </c>
      <c r="G15" s="156" t="s">
        <v>831</v>
      </c>
      <c r="H15" s="156" t="s">
        <v>81</v>
      </c>
      <c r="I15" s="156" t="s">
        <v>275</v>
      </c>
      <c r="J15" s="156" t="s">
        <v>810</v>
      </c>
      <c r="K15" s="157">
        <v>2</v>
      </c>
      <c r="L15" s="156"/>
      <c r="M15" s="156"/>
      <c r="N15" s="156"/>
      <c r="O15" s="156"/>
      <c r="P15" s="156"/>
      <c r="Q15" s="156"/>
      <c r="R15" s="158"/>
      <c r="S15" s="156"/>
      <c r="T15" s="155" t="s">
        <v>261</v>
      </c>
    </row>
    <row r="16" spans="1:20" ht="31.5" customHeight="1" x14ac:dyDescent="0.5">
      <c r="A16" s="160" t="s">
        <v>357</v>
      </c>
      <c r="B16" s="160"/>
      <c r="C16" s="159" t="s">
        <v>862</v>
      </c>
      <c r="D16" s="160" t="s">
        <v>282</v>
      </c>
      <c r="E16" s="160" t="s">
        <v>820</v>
      </c>
      <c r="F16" s="160" t="s">
        <v>861</v>
      </c>
      <c r="G16" s="160" t="s">
        <v>831</v>
      </c>
      <c r="H16" s="160" t="s">
        <v>81</v>
      </c>
      <c r="I16" s="160" t="s">
        <v>863</v>
      </c>
      <c r="J16" s="160" t="s">
        <v>810</v>
      </c>
      <c r="K16" s="161">
        <v>2</v>
      </c>
      <c r="L16" s="160"/>
      <c r="M16" s="160"/>
      <c r="N16" s="160"/>
      <c r="O16" s="160"/>
      <c r="P16" s="160"/>
      <c r="Q16" s="160"/>
      <c r="R16" s="162"/>
      <c r="S16" s="160"/>
      <c r="T16" s="159" t="s">
        <v>261</v>
      </c>
    </row>
    <row r="17" spans="1:20" ht="31.5" customHeight="1" x14ac:dyDescent="0.5">
      <c r="A17" s="156" t="s">
        <v>292</v>
      </c>
      <c r="B17" s="156"/>
      <c r="C17" s="155" t="s">
        <v>301</v>
      </c>
      <c r="D17" s="156" t="s">
        <v>282</v>
      </c>
      <c r="E17" s="156" t="s">
        <v>277</v>
      </c>
      <c r="F17" s="156" t="s">
        <v>864</v>
      </c>
      <c r="G17" s="156" t="s">
        <v>824</v>
      </c>
      <c r="H17" s="156" t="s">
        <v>81</v>
      </c>
      <c r="I17" s="156" t="s">
        <v>289</v>
      </c>
      <c r="J17" s="156" t="s">
        <v>825</v>
      </c>
      <c r="K17" s="157">
        <v>16</v>
      </c>
      <c r="L17" s="156" t="s">
        <v>847</v>
      </c>
      <c r="M17" s="156" t="s">
        <v>826</v>
      </c>
      <c r="N17" s="156" t="s">
        <v>865</v>
      </c>
      <c r="O17" s="156" t="s">
        <v>861</v>
      </c>
      <c r="P17" s="156" t="s">
        <v>818</v>
      </c>
      <c r="Q17" s="156">
        <v>3.11</v>
      </c>
      <c r="R17" s="158"/>
      <c r="S17" s="156"/>
      <c r="T17" s="155" t="s">
        <v>261</v>
      </c>
    </row>
    <row r="18" spans="1:20" ht="31.5" customHeight="1" x14ac:dyDescent="0.5">
      <c r="A18" s="160" t="s">
        <v>283</v>
      </c>
      <c r="B18" s="160"/>
      <c r="C18" s="159" t="s">
        <v>304</v>
      </c>
      <c r="D18" s="160" t="s">
        <v>288</v>
      </c>
      <c r="E18" s="160" t="s">
        <v>277</v>
      </c>
      <c r="F18" s="160" t="s">
        <v>866</v>
      </c>
      <c r="G18" s="160" t="s">
        <v>831</v>
      </c>
      <c r="H18" s="160" t="s">
        <v>81</v>
      </c>
      <c r="I18" s="160" t="s">
        <v>303</v>
      </c>
      <c r="J18" s="160" t="s">
        <v>859</v>
      </c>
      <c r="K18" s="161">
        <v>8</v>
      </c>
      <c r="L18" s="160" t="s">
        <v>867</v>
      </c>
      <c r="M18" s="160" t="s">
        <v>812</v>
      </c>
      <c r="N18" s="160" t="s">
        <v>841</v>
      </c>
      <c r="O18" s="160" t="s">
        <v>857</v>
      </c>
      <c r="P18" s="160" t="s">
        <v>841</v>
      </c>
      <c r="Q18" s="160"/>
      <c r="R18" s="162"/>
      <c r="S18" s="160"/>
      <c r="T18" s="159" t="s">
        <v>261</v>
      </c>
    </row>
    <row r="19" spans="1:20" ht="31.5" customHeight="1" x14ac:dyDescent="0.5">
      <c r="A19" s="156" t="s">
        <v>283</v>
      </c>
      <c r="B19" s="156"/>
      <c r="C19" s="155" t="s">
        <v>307</v>
      </c>
      <c r="D19" s="156" t="s">
        <v>288</v>
      </c>
      <c r="E19" s="156" t="s">
        <v>277</v>
      </c>
      <c r="F19" s="156" t="s">
        <v>868</v>
      </c>
      <c r="G19" s="156" t="s">
        <v>824</v>
      </c>
      <c r="H19" s="156" t="s">
        <v>81</v>
      </c>
      <c r="I19" s="156" t="s">
        <v>289</v>
      </c>
      <c r="J19" s="156" t="s">
        <v>825</v>
      </c>
      <c r="K19" s="157">
        <v>16</v>
      </c>
      <c r="L19" s="156" t="s">
        <v>816</v>
      </c>
      <c r="M19" s="156" t="s">
        <v>826</v>
      </c>
      <c r="N19" s="156" t="s">
        <v>868</v>
      </c>
      <c r="O19" s="156" t="s">
        <v>869</v>
      </c>
      <c r="P19" s="156" t="s">
        <v>818</v>
      </c>
      <c r="Q19" s="156">
        <v>2.99</v>
      </c>
      <c r="R19" s="158"/>
      <c r="S19" s="156"/>
      <c r="T19" s="155" t="s">
        <v>261</v>
      </c>
    </row>
    <row r="20" spans="1:20" ht="31.5" customHeight="1" x14ac:dyDescent="0.5">
      <c r="A20" s="160" t="s">
        <v>87</v>
      </c>
      <c r="B20" s="160"/>
      <c r="C20" s="159" t="s">
        <v>309</v>
      </c>
      <c r="D20" s="160" t="s">
        <v>288</v>
      </c>
      <c r="E20" s="160" t="s">
        <v>277</v>
      </c>
      <c r="F20" s="160" t="s">
        <v>870</v>
      </c>
      <c r="G20" s="160" t="s">
        <v>831</v>
      </c>
      <c r="H20" s="160" t="s">
        <v>81</v>
      </c>
      <c r="I20" s="160" t="s">
        <v>303</v>
      </c>
      <c r="J20" s="160" t="s">
        <v>859</v>
      </c>
      <c r="K20" s="161">
        <v>2</v>
      </c>
      <c r="L20" s="160" t="s">
        <v>867</v>
      </c>
      <c r="M20" s="160" t="s">
        <v>812</v>
      </c>
      <c r="N20" s="160" t="s">
        <v>841</v>
      </c>
      <c r="O20" s="160" t="s">
        <v>857</v>
      </c>
      <c r="P20" s="160" t="s">
        <v>841</v>
      </c>
      <c r="Q20" s="160"/>
      <c r="R20" s="162"/>
      <c r="S20" s="160"/>
      <c r="T20" s="159" t="s">
        <v>261</v>
      </c>
    </row>
    <row r="21" spans="1:20" ht="31.5" customHeight="1" x14ac:dyDescent="0.5">
      <c r="A21" s="156" t="s">
        <v>87</v>
      </c>
      <c r="B21" s="156"/>
      <c r="C21" s="155" t="s">
        <v>311</v>
      </c>
      <c r="D21" s="156" t="s">
        <v>282</v>
      </c>
      <c r="E21" s="156" t="s">
        <v>277</v>
      </c>
      <c r="F21" s="156" t="s">
        <v>871</v>
      </c>
      <c r="G21" s="156" t="s">
        <v>872</v>
      </c>
      <c r="H21" s="156" t="s">
        <v>81</v>
      </c>
      <c r="I21" s="156" t="s">
        <v>310</v>
      </c>
      <c r="J21" s="156" t="s">
        <v>873</v>
      </c>
      <c r="K21" s="157">
        <v>2</v>
      </c>
      <c r="L21" s="156" t="s">
        <v>811</v>
      </c>
      <c r="M21" s="156" t="s">
        <v>812</v>
      </c>
      <c r="N21" s="156" t="s">
        <v>874</v>
      </c>
      <c r="O21" s="156" t="s">
        <v>875</v>
      </c>
      <c r="P21" s="156" t="s">
        <v>874</v>
      </c>
      <c r="Q21" s="156"/>
      <c r="R21" s="158"/>
      <c r="S21" s="156"/>
      <c r="T21" s="155" t="s">
        <v>261</v>
      </c>
    </row>
    <row r="22" spans="1:20" ht="42" customHeight="1" x14ac:dyDescent="0.5">
      <c r="A22" s="160" t="s">
        <v>424</v>
      </c>
      <c r="B22" s="160"/>
      <c r="C22" s="159" t="s">
        <v>876</v>
      </c>
      <c r="D22" s="160" t="s">
        <v>282</v>
      </c>
      <c r="E22" s="160" t="s">
        <v>820</v>
      </c>
      <c r="F22" s="160" t="s">
        <v>877</v>
      </c>
      <c r="G22" s="160" t="s">
        <v>826</v>
      </c>
      <c r="H22" s="160" t="s">
        <v>81</v>
      </c>
      <c r="I22" s="160" t="s">
        <v>352</v>
      </c>
      <c r="J22" s="160" t="s">
        <v>110</v>
      </c>
      <c r="K22" s="161">
        <v>1</v>
      </c>
      <c r="L22" s="160"/>
      <c r="M22" s="160"/>
      <c r="N22" s="160"/>
      <c r="O22" s="160"/>
      <c r="P22" s="160"/>
      <c r="Q22" s="160"/>
      <c r="R22" s="162"/>
      <c r="S22" s="160"/>
      <c r="T22" s="159" t="s">
        <v>261</v>
      </c>
    </row>
    <row r="23" spans="1:20" ht="52.5" customHeight="1" x14ac:dyDescent="0.5">
      <c r="A23" s="156" t="s">
        <v>283</v>
      </c>
      <c r="B23" s="156"/>
      <c r="C23" s="155" t="s">
        <v>878</v>
      </c>
      <c r="D23" s="156" t="s">
        <v>288</v>
      </c>
      <c r="E23" s="156" t="s">
        <v>820</v>
      </c>
      <c r="F23" s="156" t="s">
        <v>877</v>
      </c>
      <c r="G23" s="156" t="s">
        <v>879</v>
      </c>
      <c r="H23" s="156" t="s">
        <v>81</v>
      </c>
      <c r="I23" s="156" t="s">
        <v>241</v>
      </c>
      <c r="J23" s="156" t="s">
        <v>880</v>
      </c>
      <c r="K23" s="157">
        <v>240</v>
      </c>
      <c r="L23" s="156"/>
      <c r="M23" s="156"/>
      <c r="N23" s="156"/>
      <c r="O23" s="156"/>
      <c r="P23" s="156"/>
      <c r="Q23" s="156"/>
      <c r="R23" s="158"/>
      <c r="S23" s="156"/>
      <c r="T23" s="155" t="s">
        <v>261</v>
      </c>
    </row>
    <row r="24" spans="1:20" ht="31.5" customHeight="1" x14ac:dyDescent="0.5">
      <c r="A24" s="160" t="s">
        <v>292</v>
      </c>
      <c r="B24" s="160"/>
      <c r="C24" s="159" t="s">
        <v>315</v>
      </c>
      <c r="D24" s="160" t="s">
        <v>282</v>
      </c>
      <c r="E24" s="160" t="s">
        <v>277</v>
      </c>
      <c r="F24" s="160" t="s">
        <v>881</v>
      </c>
      <c r="G24" s="160" t="s">
        <v>831</v>
      </c>
      <c r="H24" s="160" t="s">
        <v>81</v>
      </c>
      <c r="I24" s="160" t="s">
        <v>314</v>
      </c>
      <c r="J24" s="160" t="s">
        <v>810</v>
      </c>
      <c r="K24" s="161">
        <v>7</v>
      </c>
      <c r="L24" s="160" t="s">
        <v>882</v>
      </c>
      <c r="M24" s="160" t="s">
        <v>834</v>
      </c>
      <c r="N24" s="160" t="s">
        <v>883</v>
      </c>
      <c r="O24" s="160" t="s">
        <v>884</v>
      </c>
      <c r="P24" s="160" t="s">
        <v>883</v>
      </c>
      <c r="Q24" s="160"/>
      <c r="R24" s="162"/>
      <c r="S24" s="160"/>
      <c r="T24" s="159" t="s">
        <v>261</v>
      </c>
    </row>
    <row r="25" spans="1:20" ht="31.5" customHeight="1" x14ac:dyDescent="0.5">
      <c r="A25" s="156" t="s">
        <v>292</v>
      </c>
      <c r="B25" s="156"/>
      <c r="C25" s="155" t="s">
        <v>318</v>
      </c>
      <c r="D25" s="156" t="s">
        <v>282</v>
      </c>
      <c r="E25" s="156" t="s">
        <v>277</v>
      </c>
      <c r="F25" s="156" t="s">
        <v>885</v>
      </c>
      <c r="G25" s="156" t="s">
        <v>831</v>
      </c>
      <c r="H25" s="156" t="s">
        <v>81</v>
      </c>
      <c r="I25" s="156" t="s">
        <v>317</v>
      </c>
      <c r="J25" s="156" t="s">
        <v>810</v>
      </c>
      <c r="K25" s="157">
        <v>6</v>
      </c>
      <c r="L25" s="156" t="s">
        <v>886</v>
      </c>
      <c r="M25" s="156" t="s">
        <v>834</v>
      </c>
      <c r="N25" s="156" t="s">
        <v>887</v>
      </c>
      <c r="O25" s="156" t="s">
        <v>888</v>
      </c>
      <c r="P25" s="156" t="s">
        <v>887</v>
      </c>
      <c r="Q25" s="156"/>
      <c r="R25" s="158"/>
      <c r="S25" s="156"/>
      <c r="T25" s="155" t="s">
        <v>261</v>
      </c>
    </row>
    <row r="26" spans="1:20" ht="42" customHeight="1" x14ac:dyDescent="0.5">
      <c r="A26" s="160"/>
      <c r="B26" s="160"/>
      <c r="C26" s="159" t="s">
        <v>889</v>
      </c>
      <c r="D26" s="160" t="s">
        <v>282</v>
      </c>
      <c r="E26" s="160" t="s">
        <v>820</v>
      </c>
      <c r="F26" s="160" t="s">
        <v>890</v>
      </c>
      <c r="G26" s="160" t="s">
        <v>891</v>
      </c>
      <c r="H26" s="160" t="s">
        <v>81</v>
      </c>
      <c r="I26" s="160" t="s">
        <v>244</v>
      </c>
      <c r="J26" s="160" t="s">
        <v>110</v>
      </c>
      <c r="K26" s="161">
        <v>30</v>
      </c>
      <c r="L26" s="160"/>
      <c r="M26" s="160"/>
      <c r="N26" s="160"/>
      <c r="O26" s="160"/>
      <c r="P26" s="160"/>
      <c r="Q26" s="160"/>
      <c r="R26" s="162"/>
      <c r="S26" s="160"/>
      <c r="T26" s="159" t="s">
        <v>261</v>
      </c>
    </row>
    <row r="27" spans="1:20" ht="42" customHeight="1" x14ac:dyDescent="0.5">
      <c r="A27" s="156"/>
      <c r="B27" s="156"/>
      <c r="C27" s="155" t="s">
        <v>892</v>
      </c>
      <c r="D27" s="156" t="s">
        <v>282</v>
      </c>
      <c r="E27" s="156" t="s">
        <v>820</v>
      </c>
      <c r="F27" s="156" t="s">
        <v>893</v>
      </c>
      <c r="G27" s="156" t="s">
        <v>891</v>
      </c>
      <c r="H27" s="156" t="s">
        <v>81</v>
      </c>
      <c r="I27" s="156" t="s">
        <v>244</v>
      </c>
      <c r="J27" s="156" t="s">
        <v>110</v>
      </c>
      <c r="K27" s="157">
        <v>70</v>
      </c>
      <c r="L27" s="156"/>
      <c r="M27" s="156"/>
      <c r="N27" s="156"/>
      <c r="O27" s="156"/>
      <c r="P27" s="156"/>
      <c r="Q27" s="156"/>
      <c r="R27" s="158"/>
      <c r="S27" s="156"/>
      <c r="T27" s="155" t="s">
        <v>261</v>
      </c>
    </row>
    <row r="28" spans="1:20" ht="31.5" customHeight="1" x14ac:dyDescent="0.5">
      <c r="A28" s="160" t="s">
        <v>292</v>
      </c>
      <c r="B28" s="160"/>
      <c r="C28" s="159" t="s">
        <v>320</v>
      </c>
      <c r="D28" s="160" t="s">
        <v>282</v>
      </c>
      <c r="E28" s="160" t="s">
        <v>277</v>
      </c>
      <c r="F28" s="160" t="s">
        <v>894</v>
      </c>
      <c r="G28" s="160" t="s">
        <v>824</v>
      </c>
      <c r="H28" s="160" t="s">
        <v>81</v>
      </c>
      <c r="I28" s="160" t="s">
        <v>289</v>
      </c>
      <c r="J28" s="160" t="s">
        <v>825</v>
      </c>
      <c r="K28" s="161">
        <v>16</v>
      </c>
      <c r="L28" s="160" t="s">
        <v>847</v>
      </c>
      <c r="M28" s="160" t="s">
        <v>826</v>
      </c>
      <c r="N28" s="160" t="s">
        <v>894</v>
      </c>
      <c r="O28" s="160" t="s">
        <v>895</v>
      </c>
      <c r="P28" s="160" t="s">
        <v>864</v>
      </c>
      <c r="Q28" s="160">
        <v>3.17</v>
      </c>
      <c r="R28" s="162"/>
      <c r="S28" s="160"/>
      <c r="T28" s="159" t="s">
        <v>261</v>
      </c>
    </row>
    <row r="29" spans="1:20" ht="31.5" customHeight="1" x14ac:dyDescent="0.5">
      <c r="A29" s="156" t="s">
        <v>283</v>
      </c>
      <c r="B29" s="156"/>
      <c r="C29" s="155" t="s">
        <v>325</v>
      </c>
      <c r="D29" s="156" t="s">
        <v>288</v>
      </c>
      <c r="E29" s="156" t="s">
        <v>277</v>
      </c>
      <c r="F29" s="156" t="s">
        <v>896</v>
      </c>
      <c r="G29" s="156" t="s">
        <v>831</v>
      </c>
      <c r="H29" s="156" t="s">
        <v>81</v>
      </c>
      <c r="I29" s="156" t="s">
        <v>324</v>
      </c>
      <c r="J29" s="156" t="s">
        <v>810</v>
      </c>
      <c r="K29" s="157">
        <v>4</v>
      </c>
      <c r="L29" s="156" t="s">
        <v>897</v>
      </c>
      <c r="M29" s="156" t="s">
        <v>834</v>
      </c>
      <c r="N29" s="156" t="s">
        <v>890</v>
      </c>
      <c r="O29" s="156" t="s">
        <v>896</v>
      </c>
      <c r="P29" s="156" t="s">
        <v>890</v>
      </c>
      <c r="Q29" s="156"/>
      <c r="R29" s="158"/>
      <c r="S29" s="156"/>
      <c r="T29" s="155" t="s">
        <v>261</v>
      </c>
    </row>
    <row r="30" spans="1:20" ht="31.5" customHeight="1" x14ac:dyDescent="0.5">
      <c r="A30" s="160" t="s">
        <v>292</v>
      </c>
      <c r="B30" s="160"/>
      <c r="C30" s="159" t="s">
        <v>327</v>
      </c>
      <c r="D30" s="160" t="s">
        <v>282</v>
      </c>
      <c r="E30" s="160" t="s">
        <v>277</v>
      </c>
      <c r="F30" s="160" t="s">
        <v>898</v>
      </c>
      <c r="G30" s="160" t="s">
        <v>831</v>
      </c>
      <c r="H30" s="160" t="s">
        <v>81</v>
      </c>
      <c r="I30" s="160" t="s">
        <v>317</v>
      </c>
      <c r="J30" s="160" t="s">
        <v>810</v>
      </c>
      <c r="K30" s="161">
        <v>4</v>
      </c>
      <c r="L30" s="160" t="s">
        <v>897</v>
      </c>
      <c r="M30" s="160" t="s">
        <v>834</v>
      </c>
      <c r="N30" s="160" t="s">
        <v>888</v>
      </c>
      <c r="O30" s="160" t="s">
        <v>899</v>
      </c>
      <c r="P30" s="160" t="s">
        <v>888</v>
      </c>
      <c r="Q30" s="160"/>
      <c r="R30" s="162"/>
      <c r="S30" s="160"/>
      <c r="T30" s="159" t="s">
        <v>261</v>
      </c>
    </row>
    <row r="31" spans="1:20" ht="63" customHeight="1" x14ac:dyDescent="0.5">
      <c r="A31" s="156" t="s">
        <v>292</v>
      </c>
      <c r="B31" s="156"/>
      <c r="C31" s="155" t="s">
        <v>330</v>
      </c>
      <c r="D31" s="156" t="s">
        <v>282</v>
      </c>
      <c r="E31" s="156" t="s">
        <v>277</v>
      </c>
      <c r="F31" s="156" t="s">
        <v>900</v>
      </c>
      <c r="G31" s="156" t="s">
        <v>826</v>
      </c>
      <c r="H31" s="156" t="s">
        <v>81</v>
      </c>
      <c r="I31" s="156" t="s">
        <v>329</v>
      </c>
      <c r="J31" s="156" t="s">
        <v>110</v>
      </c>
      <c r="K31" s="157">
        <v>4</v>
      </c>
      <c r="L31" s="156" t="s">
        <v>816</v>
      </c>
      <c r="M31" s="156" t="s">
        <v>826</v>
      </c>
      <c r="N31" s="156" t="s">
        <v>901</v>
      </c>
      <c r="O31" s="156" t="s">
        <v>902</v>
      </c>
      <c r="P31" s="156" t="s">
        <v>903</v>
      </c>
      <c r="Q31" s="156"/>
      <c r="R31" s="158" t="s">
        <v>295</v>
      </c>
      <c r="S31" s="156"/>
      <c r="T31" s="155" t="s">
        <v>261</v>
      </c>
    </row>
    <row r="32" spans="1:20" ht="31.5" customHeight="1" x14ac:dyDescent="0.5">
      <c r="A32" s="160" t="s">
        <v>283</v>
      </c>
      <c r="B32" s="160"/>
      <c r="C32" s="159" t="s">
        <v>332</v>
      </c>
      <c r="D32" s="160" t="s">
        <v>288</v>
      </c>
      <c r="E32" s="160" t="s">
        <v>277</v>
      </c>
      <c r="F32" s="160" t="s">
        <v>900</v>
      </c>
      <c r="G32" s="160" t="s">
        <v>831</v>
      </c>
      <c r="H32" s="160" t="s">
        <v>81</v>
      </c>
      <c r="I32" s="160" t="s">
        <v>324</v>
      </c>
      <c r="J32" s="160" t="s">
        <v>810</v>
      </c>
      <c r="K32" s="161">
        <v>2</v>
      </c>
      <c r="L32" s="160" t="s">
        <v>904</v>
      </c>
      <c r="M32" s="160" t="s">
        <v>834</v>
      </c>
      <c r="N32" s="160" t="s">
        <v>888</v>
      </c>
      <c r="O32" s="160" t="s">
        <v>901</v>
      </c>
      <c r="P32" s="160" t="s">
        <v>888</v>
      </c>
      <c r="Q32" s="160"/>
      <c r="R32" s="162"/>
      <c r="S32" s="160"/>
      <c r="T32" s="159" t="s">
        <v>261</v>
      </c>
    </row>
    <row r="33" spans="1:20" ht="31.5" customHeight="1" x14ac:dyDescent="0.5">
      <c r="A33" s="156" t="s">
        <v>333</v>
      </c>
      <c r="B33" s="156"/>
      <c r="C33" s="155" t="s">
        <v>334</v>
      </c>
      <c r="D33" s="156" t="s">
        <v>288</v>
      </c>
      <c r="E33" s="156" t="s">
        <v>277</v>
      </c>
      <c r="F33" s="156" t="s">
        <v>905</v>
      </c>
      <c r="G33" s="156" t="s">
        <v>854</v>
      </c>
      <c r="H33" s="156" t="s">
        <v>81</v>
      </c>
      <c r="I33" s="156" t="s">
        <v>284</v>
      </c>
      <c r="J33" s="156" t="s">
        <v>110</v>
      </c>
      <c r="K33" s="157">
        <v>2</v>
      </c>
      <c r="L33" s="156" t="s">
        <v>906</v>
      </c>
      <c r="M33" s="156" t="s">
        <v>826</v>
      </c>
      <c r="N33" s="156" t="s">
        <v>900</v>
      </c>
      <c r="O33" s="156" t="s">
        <v>907</v>
      </c>
      <c r="P33" s="156" t="s">
        <v>818</v>
      </c>
      <c r="Q33" s="156"/>
      <c r="R33" s="158" t="s">
        <v>93</v>
      </c>
      <c r="S33" s="156"/>
      <c r="T33" s="155" t="s">
        <v>261</v>
      </c>
    </row>
    <row r="34" spans="1:20" ht="31.5" customHeight="1" x14ac:dyDescent="0.5">
      <c r="A34" s="160" t="s">
        <v>292</v>
      </c>
      <c r="B34" s="160"/>
      <c r="C34" s="159" t="s">
        <v>335</v>
      </c>
      <c r="D34" s="160" t="s">
        <v>282</v>
      </c>
      <c r="E34" s="160" t="s">
        <v>277</v>
      </c>
      <c r="F34" s="160" t="s">
        <v>908</v>
      </c>
      <c r="G34" s="160" t="s">
        <v>824</v>
      </c>
      <c r="H34" s="160" t="s">
        <v>81</v>
      </c>
      <c r="I34" s="160" t="s">
        <v>289</v>
      </c>
      <c r="J34" s="160" t="s">
        <v>825</v>
      </c>
      <c r="K34" s="161">
        <v>16</v>
      </c>
      <c r="L34" s="160" t="s">
        <v>847</v>
      </c>
      <c r="M34" s="160" t="s">
        <v>909</v>
      </c>
      <c r="N34" s="160" t="s">
        <v>905</v>
      </c>
      <c r="O34" s="160" t="s">
        <v>901</v>
      </c>
      <c r="P34" s="160" t="s">
        <v>887</v>
      </c>
      <c r="Q34" s="160">
        <v>3.21</v>
      </c>
      <c r="R34" s="162"/>
      <c r="S34" s="160"/>
      <c r="T34" s="159" t="s">
        <v>261</v>
      </c>
    </row>
    <row r="35" spans="1:20" ht="31.5" customHeight="1" x14ac:dyDescent="0.5">
      <c r="A35" s="156" t="s">
        <v>292</v>
      </c>
      <c r="B35" s="156"/>
      <c r="C35" s="155" t="s">
        <v>338</v>
      </c>
      <c r="D35" s="156" t="s">
        <v>282</v>
      </c>
      <c r="E35" s="156" t="s">
        <v>277</v>
      </c>
      <c r="F35" s="156" t="s">
        <v>910</v>
      </c>
      <c r="G35" s="156" t="s">
        <v>826</v>
      </c>
      <c r="H35" s="156" t="s">
        <v>81</v>
      </c>
      <c r="I35" s="156" t="s">
        <v>337</v>
      </c>
      <c r="J35" s="156" t="s">
        <v>110</v>
      </c>
      <c r="K35" s="157">
        <v>1</v>
      </c>
      <c r="L35" s="156" t="s">
        <v>911</v>
      </c>
      <c r="M35" s="156" t="s">
        <v>826</v>
      </c>
      <c r="N35" s="156" t="s">
        <v>908</v>
      </c>
      <c r="O35" s="156" t="s">
        <v>912</v>
      </c>
      <c r="P35" s="156" t="s">
        <v>900</v>
      </c>
      <c r="Q35" s="156"/>
      <c r="R35" s="158" t="s">
        <v>295</v>
      </c>
      <c r="S35" s="156"/>
      <c r="T35" s="155" t="s">
        <v>261</v>
      </c>
    </row>
    <row r="36" spans="1:20" ht="31.5" customHeight="1" x14ac:dyDescent="0.5">
      <c r="A36" s="160" t="s">
        <v>333</v>
      </c>
      <c r="B36" s="160"/>
      <c r="C36" s="159" t="s">
        <v>340</v>
      </c>
      <c r="D36" s="160" t="s">
        <v>282</v>
      </c>
      <c r="E36" s="160" t="s">
        <v>277</v>
      </c>
      <c r="F36" s="160" t="s">
        <v>913</v>
      </c>
      <c r="G36" s="160" t="s">
        <v>854</v>
      </c>
      <c r="H36" s="160" t="s">
        <v>81</v>
      </c>
      <c r="I36" s="160" t="s">
        <v>284</v>
      </c>
      <c r="J36" s="160" t="s">
        <v>110</v>
      </c>
      <c r="K36" s="161">
        <v>2</v>
      </c>
      <c r="L36" s="160" t="s">
        <v>906</v>
      </c>
      <c r="M36" s="160" t="s">
        <v>826</v>
      </c>
      <c r="N36" s="160" t="s">
        <v>910</v>
      </c>
      <c r="O36" s="160" t="s">
        <v>901</v>
      </c>
      <c r="P36" s="160" t="s">
        <v>900</v>
      </c>
      <c r="Q36" s="160"/>
      <c r="R36" s="162" t="s">
        <v>295</v>
      </c>
      <c r="S36" s="160"/>
      <c r="T36" s="159" t="s">
        <v>261</v>
      </c>
    </row>
    <row r="37" spans="1:20" ht="63" customHeight="1" x14ac:dyDescent="0.5">
      <c r="A37" s="156" t="s">
        <v>292</v>
      </c>
      <c r="B37" s="156"/>
      <c r="C37" s="155" t="s">
        <v>914</v>
      </c>
      <c r="D37" s="156" t="s">
        <v>282</v>
      </c>
      <c r="E37" s="156" t="s">
        <v>820</v>
      </c>
      <c r="F37" s="156" t="s">
        <v>915</v>
      </c>
      <c r="G37" s="156" t="s">
        <v>826</v>
      </c>
      <c r="H37" s="156" t="s">
        <v>81</v>
      </c>
      <c r="I37" s="156" t="s">
        <v>329</v>
      </c>
      <c r="J37" s="156" t="s">
        <v>110</v>
      </c>
      <c r="K37" s="157">
        <v>4</v>
      </c>
      <c r="L37" s="156"/>
      <c r="M37" s="156"/>
      <c r="N37" s="156"/>
      <c r="O37" s="156"/>
      <c r="P37" s="156"/>
      <c r="Q37" s="156"/>
      <c r="R37" s="158"/>
      <c r="S37" s="156"/>
      <c r="T37" s="155" t="s">
        <v>261</v>
      </c>
    </row>
    <row r="38" spans="1:20" ht="31.5" customHeight="1" x14ac:dyDescent="0.5">
      <c r="A38" s="160" t="s">
        <v>87</v>
      </c>
      <c r="B38" s="160"/>
      <c r="C38" s="159" t="s">
        <v>343</v>
      </c>
      <c r="D38" s="160" t="s">
        <v>288</v>
      </c>
      <c r="E38" s="160" t="s">
        <v>277</v>
      </c>
      <c r="F38" s="160" t="s">
        <v>915</v>
      </c>
      <c r="G38" s="160" t="s">
        <v>822</v>
      </c>
      <c r="H38" s="160" t="s">
        <v>81</v>
      </c>
      <c r="I38" s="160" t="s">
        <v>342</v>
      </c>
      <c r="J38" s="160" t="s">
        <v>110</v>
      </c>
      <c r="K38" s="161">
        <v>30</v>
      </c>
      <c r="L38" s="160" t="s">
        <v>916</v>
      </c>
      <c r="M38" s="160" t="s">
        <v>826</v>
      </c>
      <c r="N38" s="160" t="s">
        <v>913</v>
      </c>
      <c r="O38" s="160" t="s">
        <v>913</v>
      </c>
      <c r="P38" s="160" t="s">
        <v>899</v>
      </c>
      <c r="Q38" s="160"/>
      <c r="R38" s="162" t="s">
        <v>295</v>
      </c>
      <c r="S38" s="160" t="s">
        <v>840</v>
      </c>
      <c r="T38" s="159" t="s">
        <v>261</v>
      </c>
    </row>
    <row r="39" spans="1:20" ht="31.5" customHeight="1" x14ac:dyDescent="0.5">
      <c r="A39" s="156" t="s">
        <v>292</v>
      </c>
      <c r="B39" s="156"/>
      <c r="C39" s="155" t="s">
        <v>345</v>
      </c>
      <c r="D39" s="156" t="s">
        <v>282</v>
      </c>
      <c r="E39" s="156" t="s">
        <v>277</v>
      </c>
      <c r="F39" s="156" t="s">
        <v>915</v>
      </c>
      <c r="G39" s="156" t="s">
        <v>824</v>
      </c>
      <c r="H39" s="156" t="s">
        <v>81</v>
      </c>
      <c r="I39" s="156" t="s">
        <v>297</v>
      </c>
      <c r="J39" s="156" t="s">
        <v>825</v>
      </c>
      <c r="K39" s="157">
        <v>12</v>
      </c>
      <c r="L39" s="156" t="s">
        <v>917</v>
      </c>
      <c r="M39" s="156" t="s">
        <v>826</v>
      </c>
      <c r="N39" s="156" t="s">
        <v>913</v>
      </c>
      <c r="O39" s="156" t="s">
        <v>912</v>
      </c>
      <c r="P39" s="156" t="s">
        <v>900</v>
      </c>
      <c r="Q39" s="156"/>
      <c r="R39" s="158"/>
      <c r="S39" s="156"/>
      <c r="T39" s="155" t="s">
        <v>261</v>
      </c>
    </row>
    <row r="40" spans="1:20" ht="31.5" customHeight="1" x14ac:dyDescent="0.5">
      <c r="A40" s="160" t="s">
        <v>87</v>
      </c>
      <c r="B40" s="160"/>
      <c r="C40" s="159" t="s">
        <v>347</v>
      </c>
      <c r="D40" s="160" t="s">
        <v>288</v>
      </c>
      <c r="E40" s="160" t="s">
        <v>277</v>
      </c>
      <c r="F40" s="160" t="s">
        <v>918</v>
      </c>
      <c r="G40" s="160" t="s">
        <v>822</v>
      </c>
      <c r="H40" s="160" t="s">
        <v>81</v>
      </c>
      <c r="I40" s="160" t="s">
        <v>342</v>
      </c>
      <c r="J40" s="160" t="s">
        <v>110</v>
      </c>
      <c r="K40" s="161">
        <v>10</v>
      </c>
      <c r="L40" s="160" t="s">
        <v>919</v>
      </c>
      <c r="M40" s="160" t="s">
        <v>826</v>
      </c>
      <c r="N40" s="160" t="s">
        <v>920</v>
      </c>
      <c r="O40" s="160" t="s">
        <v>920</v>
      </c>
      <c r="P40" s="160" t="s">
        <v>899</v>
      </c>
      <c r="Q40" s="160"/>
      <c r="R40" s="162" t="s">
        <v>295</v>
      </c>
      <c r="S40" s="160" t="s">
        <v>840</v>
      </c>
      <c r="T40" s="159" t="s">
        <v>261</v>
      </c>
    </row>
    <row r="41" spans="1:20" ht="31.5" customHeight="1" x14ac:dyDescent="0.5">
      <c r="A41" s="156" t="s">
        <v>87</v>
      </c>
      <c r="B41" s="156"/>
      <c r="C41" s="155" t="s">
        <v>348</v>
      </c>
      <c r="D41" s="156" t="s">
        <v>288</v>
      </c>
      <c r="E41" s="156" t="s">
        <v>277</v>
      </c>
      <c r="F41" s="156" t="s">
        <v>918</v>
      </c>
      <c r="G41" s="156" t="s">
        <v>822</v>
      </c>
      <c r="H41" s="156" t="s">
        <v>81</v>
      </c>
      <c r="I41" s="156" t="s">
        <v>342</v>
      </c>
      <c r="J41" s="156" t="s">
        <v>110</v>
      </c>
      <c r="K41" s="157">
        <v>10</v>
      </c>
      <c r="L41" s="156" t="s">
        <v>919</v>
      </c>
      <c r="M41" s="156" t="s">
        <v>826</v>
      </c>
      <c r="N41" s="156" t="s">
        <v>913</v>
      </c>
      <c r="O41" s="156" t="s">
        <v>920</v>
      </c>
      <c r="P41" s="156" t="s">
        <v>899</v>
      </c>
      <c r="Q41" s="156"/>
      <c r="R41" s="158" t="s">
        <v>295</v>
      </c>
      <c r="S41" s="156" t="s">
        <v>840</v>
      </c>
      <c r="T41" s="155" t="s">
        <v>261</v>
      </c>
    </row>
    <row r="42" spans="1:20" ht="31.5" customHeight="1" x14ac:dyDescent="0.5">
      <c r="A42" s="160" t="s">
        <v>87</v>
      </c>
      <c r="B42" s="160"/>
      <c r="C42" s="159" t="s">
        <v>349</v>
      </c>
      <c r="D42" s="160" t="s">
        <v>288</v>
      </c>
      <c r="E42" s="160" t="s">
        <v>277</v>
      </c>
      <c r="F42" s="160" t="s">
        <v>921</v>
      </c>
      <c r="G42" s="160" t="s">
        <v>822</v>
      </c>
      <c r="H42" s="160" t="s">
        <v>81</v>
      </c>
      <c r="I42" s="160" t="s">
        <v>342</v>
      </c>
      <c r="J42" s="160" t="s">
        <v>110</v>
      </c>
      <c r="K42" s="161">
        <v>10</v>
      </c>
      <c r="L42" s="160" t="s">
        <v>847</v>
      </c>
      <c r="M42" s="160" t="s">
        <v>826</v>
      </c>
      <c r="N42" s="160" t="s">
        <v>922</v>
      </c>
      <c r="O42" s="160" t="s">
        <v>918</v>
      </c>
      <c r="P42" s="160" t="s">
        <v>899</v>
      </c>
      <c r="Q42" s="160"/>
      <c r="R42" s="162" t="s">
        <v>295</v>
      </c>
      <c r="S42" s="160" t="s">
        <v>840</v>
      </c>
      <c r="T42" s="159" t="s">
        <v>261</v>
      </c>
    </row>
    <row r="43" spans="1:20" ht="31.5" customHeight="1" x14ac:dyDescent="0.5">
      <c r="A43" s="156" t="s">
        <v>292</v>
      </c>
      <c r="B43" s="156"/>
      <c r="C43" s="155" t="s">
        <v>350</v>
      </c>
      <c r="D43" s="156" t="s">
        <v>282</v>
      </c>
      <c r="E43" s="156" t="s">
        <v>277</v>
      </c>
      <c r="F43" s="156" t="s">
        <v>923</v>
      </c>
      <c r="G43" s="156" t="s">
        <v>824</v>
      </c>
      <c r="H43" s="156" t="s">
        <v>81</v>
      </c>
      <c r="I43" s="156" t="s">
        <v>289</v>
      </c>
      <c r="J43" s="156" t="s">
        <v>825</v>
      </c>
      <c r="K43" s="157">
        <v>16</v>
      </c>
      <c r="L43" s="156" t="s">
        <v>847</v>
      </c>
      <c r="M43" s="156" t="s">
        <v>826</v>
      </c>
      <c r="N43" s="156" t="s">
        <v>921</v>
      </c>
      <c r="O43" s="156" t="s">
        <v>915</v>
      </c>
      <c r="P43" s="156" t="s">
        <v>900</v>
      </c>
      <c r="Q43" s="156">
        <v>3.22</v>
      </c>
      <c r="R43" s="158"/>
      <c r="S43" s="156"/>
      <c r="T43" s="155" t="s">
        <v>261</v>
      </c>
    </row>
    <row r="44" spans="1:20" ht="42" customHeight="1" x14ac:dyDescent="0.5">
      <c r="A44" s="160" t="s">
        <v>292</v>
      </c>
      <c r="B44" s="160"/>
      <c r="C44" s="159" t="s">
        <v>924</v>
      </c>
      <c r="D44" s="160" t="s">
        <v>282</v>
      </c>
      <c r="E44" s="160" t="s">
        <v>820</v>
      </c>
      <c r="F44" s="160" t="s">
        <v>923</v>
      </c>
      <c r="G44" s="160" t="s">
        <v>925</v>
      </c>
      <c r="H44" s="160" t="s">
        <v>81</v>
      </c>
      <c r="I44" s="160" t="s">
        <v>352</v>
      </c>
      <c r="J44" s="160" t="s">
        <v>110</v>
      </c>
      <c r="K44" s="161">
        <v>1</v>
      </c>
      <c r="L44" s="160"/>
      <c r="M44" s="160"/>
      <c r="N44" s="160"/>
      <c r="O44" s="160"/>
      <c r="P44" s="160"/>
      <c r="Q44" s="160"/>
      <c r="R44" s="162"/>
      <c r="S44" s="160"/>
      <c r="T44" s="159" t="s">
        <v>261</v>
      </c>
    </row>
    <row r="45" spans="1:20" ht="42" customHeight="1" x14ac:dyDescent="0.5">
      <c r="A45" s="156"/>
      <c r="B45" s="156"/>
      <c r="C45" s="155" t="s">
        <v>926</v>
      </c>
      <c r="D45" s="156" t="s">
        <v>282</v>
      </c>
      <c r="E45" s="156" t="s">
        <v>820</v>
      </c>
      <c r="F45" s="156" t="s">
        <v>927</v>
      </c>
      <c r="G45" s="156" t="s">
        <v>891</v>
      </c>
      <c r="H45" s="156" t="s">
        <v>81</v>
      </c>
      <c r="I45" s="156" t="s">
        <v>244</v>
      </c>
      <c r="J45" s="156" t="s">
        <v>110</v>
      </c>
      <c r="K45" s="157">
        <v>500</v>
      </c>
      <c r="L45" s="156"/>
      <c r="M45" s="156"/>
      <c r="N45" s="156"/>
      <c r="O45" s="156"/>
      <c r="P45" s="156"/>
      <c r="Q45" s="156"/>
      <c r="R45" s="158"/>
      <c r="S45" s="156"/>
      <c r="T45" s="155" t="s">
        <v>261</v>
      </c>
    </row>
    <row r="46" spans="1:20" ht="42" customHeight="1" x14ac:dyDescent="0.5">
      <c r="A46" s="160"/>
      <c r="B46" s="160"/>
      <c r="C46" s="159" t="s">
        <v>928</v>
      </c>
      <c r="D46" s="160" t="s">
        <v>282</v>
      </c>
      <c r="E46" s="160" t="s">
        <v>820</v>
      </c>
      <c r="F46" s="160" t="s">
        <v>929</v>
      </c>
      <c r="G46" s="160" t="s">
        <v>891</v>
      </c>
      <c r="H46" s="160" t="s">
        <v>81</v>
      </c>
      <c r="I46" s="160" t="s">
        <v>244</v>
      </c>
      <c r="J46" s="160" t="s">
        <v>110</v>
      </c>
      <c r="K46" s="161">
        <v>100</v>
      </c>
      <c r="L46" s="160"/>
      <c r="M46" s="160"/>
      <c r="N46" s="160"/>
      <c r="O46" s="160"/>
      <c r="P46" s="160"/>
      <c r="Q46" s="160"/>
      <c r="R46" s="162"/>
      <c r="S46" s="160"/>
      <c r="T46" s="159" t="s">
        <v>261</v>
      </c>
    </row>
    <row r="47" spans="1:20" ht="42" customHeight="1" x14ac:dyDescent="0.5">
      <c r="A47" s="156" t="s">
        <v>87</v>
      </c>
      <c r="B47" s="156"/>
      <c r="C47" s="155" t="s">
        <v>353</v>
      </c>
      <c r="D47" s="156" t="s">
        <v>288</v>
      </c>
      <c r="E47" s="156" t="s">
        <v>277</v>
      </c>
      <c r="F47" s="156" t="s">
        <v>930</v>
      </c>
      <c r="G47" s="156" t="s">
        <v>822</v>
      </c>
      <c r="H47" s="156" t="s">
        <v>81</v>
      </c>
      <c r="I47" s="156" t="s">
        <v>352</v>
      </c>
      <c r="J47" s="156" t="s">
        <v>110</v>
      </c>
      <c r="K47" s="157">
        <v>5</v>
      </c>
      <c r="L47" s="156" t="s">
        <v>916</v>
      </c>
      <c r="M47" s="156" t="s">
        <v>826</v>
      </c>
      <c r="N47" s="156" t="s">
        <v>923</v>
      </c>
      <c r="O47" s="156" t="s">
        <v>931</v>
      </c>
      <c r="P47" s="156" t="s">
        <v>818</v>
      </c>
      <c r="Q47" s="156"/>
      <c r="R47" s="158" t="s">
        <v>93</v>
      </c>
      <c r="S47" s="156"/>
      <c r="T47" s="155" t="s">
        <v>261</v>
      </c>
    </row>
    <row r="48" spans="1:20" ht="31.5" customHeight="1" x14ac:dyDescent="0.5">
      <c r="A48" s="160" t="s">
        <v>87</v>
      </c>
      <c r="B48" s="160"/>
      <c r="C48" s="159" t="s">
        <v>354</v>
      </c>
      <c r="D48" s="160" t="s">
        <v>288</v>
      </c>
      <c r="E48" s="160" t="s">
        <v>277</v>
      </c>
      <c r="F48" s="160" t="s">
        <v>930</v>
      </c>
      <c r="G48" s="160" t="s">
        <v>822</v>
      </c>
      <c r="H48" s="160" t="s">
        <v>81</v>
      </c>
      <c r="I48" s="160" t="s">
        <v>248</v>
      </c>
      <c r="J48" s="160" t="s">
        <v>110</v>
      </c>
      <c r="K48" s="161">
        <v>5</v>
      </c>
      <c r="L48" s="160" t="s">
        <v>932</v>
      </c>
      <c r="M48" s="160" t="s">
        <v>826</v>
      </c>
      <c r="N48" s="160" t="s">
        <v>918</v>
      </c>
      <c r="O48" s="160" t="s">
        <v>910</v>
      </c>
      <c r="P48" s="160" t="s">
        <v>899</v>
      </c>
      <c r="Q48" s="160"/>
      <c r="R48" s="162" t="s">
        <v>295</v>
      </c>
      <c r="S48" s="160"/>
      <c r="T48" s="159" t="s">
        <v>261</v>
      </c>
    </row>
    <row r="49" spans="1:20" ht="42" customHeight="1" x14ac:dyDescent="0.5">
      <c r="A49" s="156" t="s">
        <v>87</v>
      </c>
      <c r="B49" s="156"/>
      <c r="C49" s="155" t="s">
        <v>355</v>
      </c>
      <c r="D49" s="156" t="s">
        <v>288</v>
      </c>
      <c r="E49" s="156" t="s">
        <v>277</v>
      </c>
      <c r="F49" s="156" t="s">
        <v>930</v>
      </c>
      <c r="G49" s="156" t="s">
        <v>822</v>
      </c>
      <c r="H49" s="156" t="s">
        <v>81</v>
      </c>
      <c r="I49" s="156" t="s">
        <v>352</v>
      </c>
      <c r="J49" s="156" t="s">
        <v>110</v>
      </c>
      <c r="K49" s="157">
        <v>5</v>
      </c>
      <c r="L49" s="156" t="s">
        <v>932</v>
      </c>
      <c r="M49" s="156" t="s">
        <v>826</v>
      </c>
      <c r="N49" s="156" t="s">
        <v>918</v>
      </c>
      <c r="O49" s="156" t="s">
        <v>918</v>
      </c>
      <c r="P49" s="156" t="s">
        <v>899</v>
      </c>
      <c r="Q49" s="156"/>
      <c r="R49" s="158" t="s">
        <v>295</v>
      </c>
      <c r="S49" s="156"/>
      <c r="T49" s="155" t="s">
        <v>261</v>
      </c>
    </row>
    <row r="50" spans="1:20" ht="42" customHeight="1" x14ac:dyDescent="0.5">
      <c r="A50" s="160" t="s">
        <v>87</v>
      </c>
      <c r="B50" s="160"/>
      <c r="C50" s="159" t="s">
        <v>356</v>
      </c>
      <c r="D50" s="160" t="s">
        <v>288</v>
      </c>
      <c r="E50" s="160" t="s">
        <v>277</v>
      </c>
      <c r="F50" s="160" t="s">
        <v>930</v>
      </c>
      <c r="G50" s="160" t="s">
        <v>822</v>
      </c>
      <c r="H50" s="160" t="s">
        <v>81</v>
      </c>
      <c r="I50" s="160" t="s">
        <v>352</v>
      </c>
      <c r="J50" s="160" t="s">
        <v>110</v>
      </c>
      <c r="K50" s="161">
        <v>5</v>
      </c>
      <c r="L50" s="160" t="s">
        <v>933</v>
      </c>
      <c r="M50" s="160" t="s">
        <v>826</v>
      </c>
      <c r="N50" s="160" t="s">
        <v>921</v>
      </c>
      <c r="O50" s="160" t="s">
        <v>929</v>
      </c>
      <c r="P50" s="160" t="s">
        <v>899</v>
      </c>
      <c r="Q50" s="160"/>
      <c r="R50" s="162" t="s">
        <v>295</v>
      </c>
      <c r="S50" s="160"/>
      <c r="T50" s="159" t="s">
        <v>261</v>
      </c>
    </row>
    <row r="51" spans="1:20" ht="42" customHeight="1" x14ac:dyDescent="0.5">
      <c r="A51" s="156" t="s">
        <v>357</v>
      </c>
      <c r="B51" s="156"/>
      <c r="C51" s="155" t="s">
        <v>358</v>
      </c>
      <c r="D51" s="156" t="s">
        <v>282</v>
      </c>
      <c r="E51" s="156" t="s">
        <v>277</v>
      </c>
      <c r="F51" s="156" t="s">
        <v>934</v>
      </c>
      <c r="G51" s="156" t="s">
        <v>935</v>
      </c>
      <c r="H51" s="156" t="s">
        <v>81</v>
      </c>
      <c r="I51" s="156" t="s">
        <v>352</v>
      </c>
      <c r="J51" s="156" t="s">
        <v>110</v>
      </c>
      <c r="K51" s="157">
        <v>1</v>
      </c>
      <c r="L51" s="156" t="s">
        <v>933</v>
      </c>
      <c r="M51" s="156" t="s">
        <v>826</v>
      </c>
      <c r="N51" s="156" t="s">
        <v>921</v>
      </c>
      <c r="O51" s="156" t="s">
        <v>930</v>
      </c>
      <c r="P51" s="156" t="s">
        <v>899</v>
      </c>
      <c r="Q51" s="156"/>
      <c r="R51" s="158" t="s">
        <v>295</v>
      </c>
      <c r="S51" s="156"/>
      <c r="T51" s="155" t="s">
        <v>261</v>
      </c>
    </row>
    <row r="52" spans="1:20" ht="42" customHeight="1" x14ac:dyDescent="0.5">
      <c r="A52" s="160" t="s">
        <v>359</v>
      </c>
      <c r="B52" s="160"/>
      <c r="C52" s="159" t="s">
        <v>936</v>
      </c>
      <c r="D52" s="160" t="s">
        <v>288</v>
      </c>
      <c r="E52" s="160" t="s">
        <v>820</v>
      </c>
      <c r="F52" s="160" t="s">
        <v>937</v>
      </c>
      <c r="G52" s="160" t="s">
        <v>938</v>
      </c>
      <c r="H52" s="160" t="s">
        <v>81</v>
      </c>
      <c r="I52" s="160" t="s">
        <v>352</v>
      </c>
      <c r="J52" s="160" t="s">
        <v>110</v>
      </c>
      <c r="K52" s="161">
        <v>5</v>
      </c>
      <c r="L52" s="160"/>
      <c r="M52" s="160"/>
      <c r="N52" s="160"/>
      <c r="O52" s="160"/>
      <c r="P52" s="160"/>
      <c r="Q52" s="160"/>
      <c r="R52" s="162"/>
      <c r="S52" s="160"/>
      <c r="T52" s="159" t="s">
        <v>261</v>
      </c>
    </row>
    <row r="53" spans="1:20" ht="42" customHeight="1" x14ac:dyDescent="0.5">
      <c r="A53" s="156"/>
      <c r="B53" s="156"/>
      <c r="C53" s="155" t="s">
        <v>939</v>
      </c>
      <c r="D53" s="156" t="s">
        <v>282</v>
      </c>
      <c r="E53" s="156" t="s">
        <v>820</v>
      </c>
      <c r="F53" s="156" t="s">
        <v>940</v>
      </c>
      <c r="G53" s="156" t="s">
        <v>891</v>
      </c>
      <c r="H53" s="156" t="s">
        <v>81</v>
      </c>
      <c r="I53" s="156" t="s">
        <v>244</v>
      </c>
      <c r="J53" s="156" t="s">
        <v>110</v>
      </c>
      <c r="K53" s="157">
        <v>100</v>
      </c>
      <c r="L53" s="156"/>
      <c r="M53" s="156"/>
      <c r="N53" s="156"/>
      <c r="O53" s="156"/>
      <c r="P53" s="156"/>
      <c r="Q53" s="156"/>
      <c r="R53" s="158"/>
      <c r="S53" s="156"/>
      <c r="T53" s="155" t="s">
        <v>261</v>
      </c>
    </row>
    <row r="54" spans="1:20" ht="42" customHeight="1" x14ac:dyDescent="0.5">
      <c r="A54" s="160" t="s">
        <v>359</v>
      </c>
      <c r="B54" s="160"/>
      <c r="C54" s="159" t="s">
        <v>360</v>
      </c>
      <c r="D54" s="160" t="s">
        <v>288</v>
      </c>
      <c r="E54" s="160" t="s">
        <v>277</v>
      </c>
      <c r="F54" s="160" t="s">
        <v>941</v>
      </c>
      <c r="G54" s="160" t="s">
        <v>938</v>
      </c>
      <c r="H54" s="160" t="s">
        <v>81</v>
      </c>
      <c r="I54" s="160" t="s">
        <v>352</v>
      </c>
      <c r="J54" s="160" t="s">
        <v>110</v>
      </c>
      <c r="K54" s="161">
        <v>5</v>
      </c>
      <c r="L54" s="160" t="s">
        <v>919</v>
      </c>
      <c r="M54" s="160" t="s">
        <v>826</v>
      </c>
      <c r="N54" s="160" t="s">
        <v>940</v>
      </c>
      <c r="O54" s="160" t="s">
        <v>940</v>
      </c>
      <c r="P54" s="160" t="s">
        <v>818</v>
      </c>
      <c r="Q54" s="160"/>
      <c r="R54" s="162" t="s">
        <v>93</v>
      </c>
      <c r="S54" s="160"/>
      <c r="T54" s="159" t="s">
        <v>261</v>
      </c>
    </row>
    <row r="55" spans="1:20" ht="42" customHeight="1" x14ac:dyDescent="0.5">
      <c r="A55" s="156" t="s">
        <v>359</v>
      </c>
      <c r="B55" s="156"/>
      <c r="C55" s="155" t="s">
        <v>361</v>
      </c>
      <c r="D55" s="156" t="s">
        <v>288</v>
      </c>
      <c r="E55" s="156" t="s">
        <v>277</v>
      </c>
      <c r="F55" s="156" t="s">
        <v>942</v>
      </c>
      <c r="G55" s="156" t="s">
        <v>938</v>
      </c>
      <c r="H55" s="156" t="s">
        <v>81</v>
      </c>
      <c r="I55" s="156" t="s">
        <v>352</v>
      </c>
      <c r="J55" s="156" t="s">
        <v>110</v>
      </c>
      <c r="K55" s="157">
        <v>5</v>
      </c>
      <c r="L55" s="156" t="s">
        <v>916</v>
      </c>
      <c r="M55" s="156" t="s">
        <v>826</v>
      </c>
      <c r="N55" s="156" t="s">
        <v>942</v>
      </c>
      <c r="O55" s="156" t="s">
        <v>941</v>
      </c>
      <c r="P55" s="156" t="s">
        <v>818</v>
      </c>
      <c r="Q55" s="156"/>
      <c r="R55" s="158" t="s">
        <v>93</v>
      </c>
      <c r="S55" s="156"/>
      <c r="T55" s="155" t="s">
        <v>261</v>
      </c>
    </row>
    <row r="56" spans="1:20" ht="42" customHeight="1" x14ac:dyDescent="0.5">
      <c r="A56" s="160" t="s">
        <v>359</v>
      </c>
      <c r="B56" s="160"/>
      <c r="C56" s="159" t="s">
        <v>362</v>
      </c>
      <c r="D56" s="160" t="s">
        <v>288</v>
      </c>
      <c r="E56" s="160" t="s">
        <v>277</v>
      </c>
      <c r="F56" s="160" t="s">
        <v>943</v>
      </c>
      <c r="G56" s="160" t="s">
        <v>938</v>
      </c>
      <c r="H56" s="160" t="s">
        <v>81</v>
      </c>
      <c r="I56" s="160" t="s">
        <v>352</v>
      </c>
      <c r="J56" s="160" t="s">
        <v>110</v>
      </c>
      <c r="K56" s="161">
        <v>5</v>
      </c>
      <c r="L56" s="160" t="s">
        <v>919</v>
      </c>
      <c r="M56" s="160" t="s">
        <v>826</v>
      </c>
      <c r="N56" s="160" t="s">
        <v>944</v>
      </c>
      <c r="O56" s="160" t="s">
        <v>945</v>
      </c>
      <c r="P56" s="160" t="s">
        <v>818</v>
      </c>
      <c r="Q56" s="160"/>
      <c r="R56" s="162" t="s">
        <v>93</v>
      </c>
      <c r="S56" s="160"/>
      <c r="T56" s="159" t="s">
        <v>261</v>
      </c>
    </row>
    <row r="57" spans="1:20" ht="31.5" customHeight="1" x14ac:dyDescent="0.5">
      <c r="A57" s="156" t="s">
        <v>359</v>
      </c>
      <c r="B57" s="156"/>
      <c r="C57" s="155" t="s">
        <v>363</v>
      </c>
      <c r="D57" s="156" t="s">
        <v>288</v>
      </c>
      <c r="E57" s="156" t="s">
        <v>277</v>
      </c>
      <c r="F57" s="156" t="s">
        <v>943</v>
      </c>
      <c r="G57" s="156" t="s">
        <v>938</v>
      </c>
      <c r="H57" s="156" t="s">
        <v>81</v>
      </c>
      <c r="I57" s="156" t="s">
        <v>248</v>
      </c>
      <c r="J57" s="156" t="s">
        <v>110</v>
      </c>
      <c r="K57" s="157">
        <v>5</v>
      </c>
      <c r="L57" s="156" t="s">
        <v>919</v>
      </c>
      <c r="M57" s="156" t="s">
        <v>826</v>
      </c>
      <c r="N57" s="156" t="s">
        <v>946</v>
      </c>
      <c r="O57" s="156" t="s">
        <v>934</v>
      </c>
      <c r="P57" s="156" t="s">
        <v>899</v>
      </c>
      <c r="Q57" s="156"/>
      <c r="R57" s="158" t="s">
        <v>295</v>
      </c>
      <c r="S57" s="156"/>
      <c r="T57" s="155" t="s">
        <v>261</v>
      </c>
    </row>
    <row r="58" spans="1:20" ht="42" customHeight="1" x14ac:dyDescent="0.5">
      <c r="A58" s="160"/>
      <c r="B58" s="160"/>
      <c r="C58" s="159" t="s">
        <v>947</v>
      </c>
      <c r="D58" s="160" t="s">
        <v>282</v>
      </c>
      <c r="E58" s="160" t="s">
        <v>820</v>
      </c>
      <c r="F58" s="160" t="s">
        <v>948</v>
      </c>
      <c r="G58" s="160" t="s">
        <v>891</v>
      </c>
      <c r="H58" s="160" t="s">
        <v>81</v>
      </c>
      <c r="I58" s="160" t="s">
        <v>244</v>
      </c>
      <c r="J58" s="160" t="s">
        <v>110</v>
      </c>
      <c r="K58" s="161">
        <v>200</v>
      </c>
      <c r="L58" s="160"/>
      <c r="M58" s="160"/>
      <c r="N58" s="160"/>
      <c r="O58" s="160"/>
      <c r="P58" s="160"/>
      <c r="Q58" s="160"/>
      <c r="R58" s="162"/>
      <c r="S58" s="160"/>
      <c r="T58" s="159" t="s">
        <v>261</v>
      </c>
    </row>
    <row r="59" spans="1:20" ht="31.5" customHeight="1" x14ac:dyDescent="0.5">
      <c r="A59" s="156" t="s">
        <v>292</v>
      </c>
      <c r="B59" s="156"/>
      <c r="C59" s="155" t="s">
        <v>364</v>
      </c>
      <c r="D59" s="156" t="s">
        <v>282</v>
      </c>
      <c r="E59" s="156" t="s">
        <v>277</v>
      </c>
      <c r="F59" s="156" t="s">
        <v>948</v>
      </c>
      <c r="G59" s="156" t="s">
        <v>826</v>
      </c>
      <c r="H59" s="156" t="s">
        <v>81</v>
      </c>
      <c r="I59" s="156" t="s">
        <v>297</v>
      </c>
      <c r="J59" s="156" t="s">
        <v>110</v>
      </c>
      <c r="K59" s="157">
        <v>16</v>
      </c>
      <c r="L59" s="156" t="s">
        <v>847</v>
      </c>
      <c r="M59" s="156" t="s">
        <v>826</v>
      </c>
      <c r="N59" s="156" t="s">
        <v>945</v>
      </c>
      <c r="O59" s="156" t="s">
        <v>940</v>
      </c>
      <c r="P59" s="156" t="s">
        <v>915</v>
      </c>
      <c r="Q59" s="156"/>
      <c r="R59" s="158"/>
      <c r="S59" s="156"/>
      <c r="T59" s="155" t="s">
        <v>261</v>
      </c>
    </row>
    <row r="60" spans="1:20" ht="31.5" customHeight="1" x14ac:dyDescent="0.5">
      <c r="A60" s="160" t="s">
        <v>292</v>
      </c>
      <c r="B60" s="160"/>
      <c r="C60" s="159" t="s">
        <v>366</v>
      </c>
      <c r="D60" s="160" t="s">
        <v>282</v>
      </c>
      <c r="E60" s="160" t="s">
        <v>277</v>
      </c>
      <c r="F60" s="160" t="s">
        <v>948</v>
      </c>
      <c r="G60" s="160" t="s">
        <v>826</v>
      </c>
      <c r="H60" s="160" t="s">
        <v>81</v>
      </c>
      <c r="I60" s="160" t="s">
        <v>297</v>
      </c>
      <c r="J60" s="160" t="s">
        <v>110</v>
      </c>
      <c r="K60" s="161">
        <v>6</v>
      </c>
      <c r="L60" s="160" t="s">
        <v>916</v>
      </c>
      <c r="M60" s="160" t="s">
        <v>826</v>
      </c>
      <c r="N60" s="160" t="s">
        <v>943</v>
      </c>
      <c r="O60" s="160" t="s">
        <v>945</v>
      </c>
      <c r="P60" s="160" t="s">
        <v>941</v>
      </c>
      <c r="Q60" s="160"/>
      <c r="R60" s="162"/>
      <c r="S60" s="160"/>
      <c r="T60" s="159" t="s">
        <v>261</v>
      </c>
    </row>
    <row r="61" spans="1:20" ht="31.5" customHeight="1" x14ac:dyDescent="0.5">
      <c r="A61" s="156" t="s">
        <v>292</v>
      </c>
      <c r="B61" s="156"/>
      <c r="C61" s="155" t="s">
        <v>369</v>
      </c>
      <c r="D61" s="156" t="s">
        <v>282</v>
      </c>
      <c r="E61" s="156" t="s">
        <v>277</v>
      </c>
      <c r="F61" s="156" t="s">
        <v>948</v>
      </c>
      <c r="G61" s="156" t="s">
        <v>824</v>
      </c>
      <c r="H61" s="156" t="s">
        <v>81</v>
      </c>
      <c r="I61" s="156" t="s">
        <v>289</v>
      </c>
      <c r="J61" s="156" t="s">
        <v>825</v>
      </c>
      <c r="K61" s="157">
        <v>16</v>
      </c>
      <c r="L61" s="156" t="s">
        <v>917</v>
      </c>
      <c r="M61" s="156" t="s">
        <v>826</v>
      </c>
      <c r="N61" s="156" t="s">
        <v>943</v>
      </c>
      <c r="O61" s="156" t="s">
        <v>941</v>
      </c>
      <c r="P61" s="156" t="s">
        <v>915</v>
      </c>
      <c r="Q61" s="156">
        <v>3.11</v>
      </c>
      <c r="R61" s="158"/>
      <c r="S61" s="156"/>
      <c r="T61" s="155" t="s">
        <v>261</v>
      </c>
    </row>
    <row r="62" spans="1:20" ht="42" customHeight="1" x14ac:dyDescent="0.5">
      <c r="A62" s="160"/>
      <c r="B62" s="160"/>
      <c r="C62" s="159" t="s">
        <v>949</v>
      </c>
      <c r="D62" s="160" t="s">
        <v>282</v>
      </c>
      <c r="E62" s="160" t="s">
        <v>820</v>
      </c>
      <c r="F62" s="160" t="s">
        <v>948</v>
      </c>
      <c r="G62" s="160" t="s">
        <v>891</v>
      </c>
      <c r="H62" s="160" t="s">
        <v>81</v>
      </c>
      <c r="I62" s="160" t="s">
        <v>244</v>
      </c>
      <c r="J62" s="160" t="s">
        <v>110</v>
      </c>
      <c r="K62" s="161">
        <v>30</v>
      </c>
      <c r="L62" s="160"/>
      <c r="M62" s="160"/>
      <c r="N62" s="160"/>
      <c r="O62" s="160"/>
      <c r="P62" s="160"/>
      <c r="Q62" s="160"/>
      <c r="R62" s="162"/>
      <c r="S62" s="160"/>
      <c r="T62" s="159" t="s">
        <v>261</v>
      </c>
    </row>
    <row r="63" spans="1:20" ht="31.5" customHeight="1" x14ac:dyDescent="0.5">
      <c r="A63" s="156" t="s">
        <v>87</v>
      </c>
      <c r="B63" s="156"/>
      <c r="C63" s="155" t="s">
        <v>370</v>
      </c>
      <c r="D63" s="156" t="s">
        <v>282</v>
      </c>
      <c r="E63" s="156" t="s">
        <v>277</v>
      </c>
      <c r="F63" s="156" t="s">
        <v>950</v>
      </c>
      <c r="G63" s="156" t="s">
        <v>831</v>
      </c>
      <c r="H63" s="156" t="s">
        <v>81</v>
      </c>
      <c r="I63" s="156" t="s">
        <v>317</v>
      </c>
      <c r="J63" s="156" t="s">
        <v>810</v>
      </c>
      <c r="K63" s="157">
        <v>4</v>
      </c>
      <c r="L63" s="156" t="s">
        <v>951</v>
      </c>
      <c r="M63" s="156" t="s">
        <v>834</v>
      </c>
      <c r="N63" s="156" t="s">
        <v>888</v>
      </c>
      <c r="O63" s="156" t="s">
        <v>943</v>
      </c>
      <c r="P63" s="156" t="s">
        <v>888</v>
      </c>
      <c r="Q63" s="156"/>
      <c r="R63" s="158"/>
      <c r="S63" s="156"/>
      <c r="T63" s="155" t="s">
        <v>261</v>
      </c>
    </row>
    <row r="64" spans="1:20" ht="31.5" customHeight="1" x14ac:dyDescent="0.5">
      <c r="A64" s="160" t="s">
        <v>292</v>
      </c>
      <c r="B64" s="160"/>
      <c r="C64" s="159" t="s">
        <v>371</v>
      </c>
      <c r="D64" s="160" t="s">
        <v>282</v>
      </c>
      <c r="E64" s="160" t="s">
        <v>277</v>
      </c>
      <c r="F64" s="160" t="s">
        <v>950</v>
      </c>
      <c r="G64" s="160" t="s">
        <v>826</v>
      </c>
      <c r="H64" s="160" t="s">
        <v>81</v>
      </c>
      <c r="I64" s="160" t="s">
        <v>284</v>
      </c>
      <c r="J64" s="160" t="s">
        <v>110</v>
      </c>
      <c r="K64" s="161">
        <v>4</v>
      </c>
      <c r="L64" s="160" t="s">
        <v>847</v>
      </c>
      <c r="M64" s="160" t="s">
        <v>826</v>
      </c>
      <c r="N64" s="160" t="s">
        <v>934</v>
      </c>
      <c r="O64" s="160" t="s">
        <v>952</v>
      </c>
      <c r="P64" s="160" t="s">
        <v>900</v>
      </c>
      <c r="Q64" s="160"/>
      <c r="R64" s="162" t="s">
        <v>93</v>
      </c>
      <c r="S64" s="160"/>
      <c r="T64" s="159" t="s">
        <v>261</v>
      </c>
    </row>
    <row r="65" spans="1:20" ht="31.5" customHeight="1" x14ac:dyDescent="0.5">
      <c r="A65" s="156" t="s">
        <v>292</v>
      </c>
      <c r="B65" s="156"/>
      <c r="C65" s="155" t="s">
        <v>373</v>
      </c>
      <c r="D65" s="156" t="s">
        <v>282</v>
      </c>
      <c r="E65" s="156" t="s">
        <v>277</v>
      </c>
      <c r="F65" s="156" t="s">
        <v>950</v>
      </c>
      <c r="G65" s="156" t="s">
        <v>826</v>
      </c>
      <c r="H65" s="156" t="s">
        <v>81</v>
      </c>
      <c r="I65" s="156" t="s">
        <v>284</v>
      </c>
      <c r="J65" s="156" t="s">
        <v>110</v>
      </c>
      <c r="K65" s="157">
        <v>2</v>
      </c>
      <c r="L65" s="156" t="s">
        <v>932</v>
      </c>
      <c r="M65" s="156" t="s">
        <v>826</v>
      </c>
      <c r="N65" s="156" t="s">
        <v>950</v>
      </c>
      <c r="O65" s="156" t="s">
        <v>952</v>
      </c>
      <c r="P65" s="156" t="s">
        <v>941</v>
      </c>
      <c r="Q65" s="156"/>
      <c r="R65" s="158" t="s">
        <v>295</v>
      </c>
      <c r="S65" s="156"/>
      <c r="T65" s="155" t="s">
        <v>261</v>
      </c>
    </row>
    <row r="66" spans="1:20" ht="42" customHeight="1" x14ac:dyDescent="0.5">
      <c r="A66" s="160"/>
      <c r="B66" s="160"/>
      <c r="C66" s="159" t="s">
        <v>953</v>
      </c>
      <c r="D66" s="160" t="s">
        <v>282</v>
      </c>
      <c r="E66" s="160" t="s">
        <v>820</v>
      </c>
      <c r="F66" s="160" t="s">
        <v>954</v>
      </c>
      <c r="G66" s="160" t="s">
        <v>891</v>
      </c>
      <c r="H66" s="160" t="s">
        <v>81</v>
      </c>
      <c r="I66" s="160" t="s">
        <v>244</v>
      </c>
      <c r="J66" s="160" t="s">
        <v>955</v>
      </c>
      <c r="K66" s="161">
        <v>100</v>
      </c>
      <c r="L66" s="160"/>
      <c r="M66" s="160"/>
      <c r="N66" s="160"/>
      <c r="O66" s="160"/>
      <c r="P66" s="160"/>
      <c r="Q66" s="160"/>
      <c r="R66" s="162"/>
      <c r="S66" s="160"/>
      <c r="T66" s="159" t="s">
        <v>261</v>
      </c>
    </row>
    <row r="67" spans="1:20" ht="42" customHeight="1" x14ac:dyDescent="0.5">
      <c r="A67" s="156"/>
      <c r="B67" s="156"/>
      <c r="C67" s="155" t="s">
        <v>956</v>
      </c>
      <c r="D67" s="156" t="s">
        <v>282</v>
      </c>
      <c r="E67" s="156" t="s">
        <v>820</v>
      </c>
      <c r="F67" s="156" t="s">
        <v>954</v>
      </c>
      <c r="G67" s="156" t="s">
        <v>891</v>
      </c>
      <c r="H67" s="156" t="s">
        <v>81</v>
      </c>
      <c r="I67" s="156" t="s">
        <v>244</v>
      </c>
      <c r="J67" s="156" t="s">
        <v>957</v>
      </c>
      <c r="K67" s="157">
        <v>20</v>
      </c>
      <c r="L67" s="156"/>
      <c r="M67" s="156"/>
      <c r="N67" s="156"/>
      <c r="O67" s="156"/>
      <c r="P67" s="156"/>
      <c r="Q67" s="156"/>
      <c r="R67" s="158"/>
      <c r="S67" s="156"/>
      <c r="T67" s="155" t="s">
        <v>261</v>
      </c>
    </row>
    <row r="68" spans="1:20" ht="63" customHeight="1" x14ac:dyDescent="0.5">
      <c r="A68" s="160" t="s">
        <v>292</v>
      </c>
      <c r="B68" s="160"/>
      <c r="C68" s="159" t="s">
        <v>376</v>
      </c>
      <c r="D68" s="160" t="s">
        <v>282</v>
      </c>
      <c r="E68" s="160" t="s">
        <v>277</v>
      </c>
      <c r="F68" s="160" t="s">
        <v>958</v>
      </c>
      <c r="G68" s="160" t="s">
        <v>826</v>
      </c>
      <c r="H68" s="160" t="s">
        <v>81</v>
      </c>
      <c r="I68" s="160" t="s">
        <v>375</v>
      </c>
      <c r="J68" s="160" t="s">
        <v>110</v>
      </c>
      <c r="K68" s="161">
        <v>16</v>
      </c>
      <c r="L68" s="160" t="s">
        <v>916</v>
      </c>
      <c r="M68" s="160" t="s">
        <v>826</v>
      </c>
      <c r="N68" s="160" t="s">
        <v>950</v>
      </c>
      <c r="O68" s="160" t="s">
        <v>950</v>
      </c>
      <c r="P68" s="160" t="s">
        <v>941</v>
      </c>
      <c r="Q68" s="160"/>
      <c r="R68" s="162" t="s">
        <v>278</v>
      </c>
      <c r="S68" s="160" t="s">
        <v>840</v>
      </c>
      <c r="T68" s="159" t="s">
        <v>261</v>
      </c>
    </row>
    <row r="69" spans="1:20" ht="63" customHeight="1" x14ac:dyDescent="0.5">
      <c r="A69" s="156" t="s">
        <v>292</v>
      </c>
      <c r="B69" s="156"/>
      <c r="C69" s="155" t="s">
        <v>959</v>
      </c>
      <c r="D69" s="156" t="s">
        <v>282</v>
      </c>
      <c r="E69" s="156" t="s">
        <v>820</v>
      </c>
      <c r="F69" s="156" t="s">
        <v>958</v>
      </c>
      <c r="G69" s="156" t="s">
        <v>826</v>
      </c>
      <c r="H69" s="156" t="s">
        <v>81</v>
      </c>
      <c r="I69" s="156" t="s">
        <v>375</v>
      </c>
      <c r="J69" s="156" t="s">
        <v>110</v>
      </c>
      <c r="K69" s="157">
        <v>4</v>
      </c>
      <c r="L69" s="156"/>
      <c r="M69" s="156"/>
      <c r="N69" s="156"/>
      <c r="O69" s="156"/>
      <c r="P69" s="156"/>
      <c r="Q69" s="156"/>
      <c r="R69" s="158"/>
      <c r="S69" s="156" t="s">
        <v>840</v>
      </c>
      <c r="T69" s="155" t="s">
        <v>261</v>
      </c>
    </row>
    <row r="70" spans="1:20" ht="31.5" customHeight="1" x14ac:dyDescent="0.5">
      <c r="A70" s="160" t="s">
        <v>292</v>
      </c>
      <c r="B70" s="160"/>
      <c r="C70" s="159" t="s">
        <v>377</v>
      </c>
      <c r="D70" s="160" t="s">
        <v>282</v>
      </c>
      <c r="E70" s="160" t="s">
        <v>277</v>
      </c>
      <c r="F70" s="160" t="s">
        <v>958</v>
      </c>
      <c r="G70" s="160" t="s">
        <v>826</v>
      </c>
      <c r="H70" s="160" t="s">
        <v>81</v>
      </c>
      <c r="I70" s="160" t="s">
        <v>297</v>
      </c>
      <c r="J70" s="160" t="s">
        <v>110</v>
      </c>
      <c r="K70" s="161">
        <v>16</v>
      </c>
      <c r="L70" s="160" t="s">
        <v>847</v>
      </c>
      <c r="M70" s="160" t="s">
        <v>826</v>
      </c>
      <c r="N70" s="160" t="s">
        <v>960</v>
      </c>
      <c r="O70" s="160" t="s">
        <v>944</v>
      </c>
      <c r="P70" s="160" t="s">
        <v>915</v>
      </c>
      <c r="Q70" s="160"/>
      <c r="R70" s="162"/>
      <c r="S70" s="160"/>
      <c r="T70" s="159" t="s">
        <v>261</v>
      </c>
    </row>
    <row r="71" spans="1:20" ht="31.5" customHeight="1" x14ac:dyDescent="0.5">
      <c r="A71" s="156" t="s">
        <v>292</v>
      </c>
      <c r="B71" s="156"/>
      <c r="C71" s="155" t="s">
        <v>378</v>
      </c>
      <c r="D71" s="156" t="s">
        <v>282</v>
      </c>
      <c r="E71" s="156" t="s">
        <v>277</v>
      </c>
      <c r="F71" s="156" t="s">
        <v>958</v>
      </c>
      <c r="G71" s="156" t="s">
        <v>826</v>
      </c>
      <c r="H71" s="156" t="s">
        <v>81</v>
      </c>
      <c r="I71" s="156" t="s">
        <v>297</v>
      </c>
      <c r="J71" s="156" t="s">
        <v>110</v>
      </c>
      <c r="K71" s="157">
        <v>16</v>
      </c>
      <c r="L71" s="156" t="s">
        <v>917</v>
      </c>
      <c r="M71" s="156" t="s">
        <v>826</v>
      </c>
      <c r="N71" s="156" t="s">
        <v>961</v>
      </c>
      <c r="O71" s="156" t="s">
        <v>962</v>
      </c>
      <c r="P71" s="156" t="s">
        <v>941</v>
      </c>
      <c r="Q71" s="156"/>
      <c r="R71" s="158"/>
      <c r="S71" s="156"/>
      <c r="T71" s="155" t="s">
        <v>261</v>
      </c>
    </row>
    <row r="72" spans="1:20" ht="42" customHeight="1" x14ac:dyDescent="0.5">
      <c r="A72" s="160" t="s">
        <v>357</v>
      </c>
      <c r="B72" s="160"/>
      <c r="C72" s="159" t="s">
        <v>963</v>
      </c>
      <c r="D72" s="160" t="s">
        <v>282</v>
      </c>
      <c r="E72" s="160" t="s">
        <v>820</v>
      </c>
      <c r="F72" s="160" t="s">
        <v>964</v>
      </c>
      <c r="G72" s="160" t="s">
        <v>891</v>
      </c>
      <c r="H72" s="160" t="s">
        <v>81</v>
      </c>
      <c r="I72" s="160" t="s">
        <v>244</v>
      </c>
      <c r="J72" s="160" t="s">
        <v>957</v>
      </c>
      <c r="K72" s="161">
        <v>200</v>
      </c>
      <c r="L72" s="160"/>
      <c r="M72" s="160"/>
      <c r="N72" s="160"/>
      <c r="O72" s="160"/>
      <c r="P72" s="160"/>
      <c r="Q72" s="160"/>
      <c r="R72" s="162"/>
      <c r="S72" s="160"/>
      <c r="T72" s="159" t="s">
        <v>261</v>
      </c>
    </row>
    <row r="73" spans="1:20" ht="31.5" customHeight="1" x14ac:dyDescent="0.5">
      <c r="A73" s="156" t="s">
        <v>292</v>
      </c>
      <c r="B73" s="156"/>
      <c r="C73" s="155" t="s">
        <v>380</v>
      </c>
      <c r="D73" s="156" t="s">
        <v>282</v>
      </c>
      <c r="E73" s="156" t="s">
        <v>277</v>
      </c>
      <c r="F73" s="156" t="s">
        <v>965</v>
      </c>
      <c r="G73" s="156" t="s">
        <v>826</v>
      </c>
      <c r="H73" s="156" t="s">
        <v>81</v>
      </c>
      <c r="I73" s="156" t="s">
        <v>284</v>
      </c>
      <c r="J73" s="156" t="s">
        <v>110</v>
      </c>
      <c r="K73" s="157">
        <v>2</v>
      </c>
      <c r="L73" s="156" t="s">
        <v>847</v>
      </c>
      <c r="M73" s="156" t="s">
        <v>826</v>
      </c>
      <c r="N73" s="156" t="s">
        <v>922</v>
      </c>
      <c r="O73" s="156" t="s">
        <v>944</v>
      </c>
      <c r="P73" s="156" t="s">
        <v>900</v>
      </c>
      <c r="Q73" s="156"/>
      <c r="R73" s="158" t="s">
        <v>93</v>
      </c>
      <c r="S73" s="156"/>
      <c r="T73" s="155" t="s">
        <v>261</v>
      </c>
    </row>
    <row r="74" spans="1:20" ht="31.5" customHeight="1" x14ac:dyDescent="0.5">
      <c r="A74" s="160" t="s">
        <v>333</v>
      </c>
      <c r="B74" s="160"/>
      <c r="C74" s="159" t="s">
        <v>966</v>
      </c>
      <c r="D74" s="160" t="s">
        <v>282</v>
      </c>
      <c r="E74" s="160" t="s">
        <v>820</v>
      </c>
      <c r="F74" s="160" t="s">
        <v>965</v>
      </c>
      <c r="G74" s="160" t="s">
        <v>854</v>
      </c>
      <c r="H74" s="160" t="s">
        <v>81</v>
      </c>
      <c r="I74" s="160" t="s">
        <v>485</v>
      </c>
      <c r="J74" s="160" t="s">
        <v>110</v>
      </c>
      <c r="K74" s="161">
        <v>3</v>
      </c>
      <c r="L74" s="160"/>
      <c r="M74" s="160"/>
      <c r="N74" s="160"/>
      <c r="O74" s="160"/>
      <c r="P74" s="160"/>
      <c r="Q74" s="160"/>
      <c r="R74" s="162"/>
      <c r="S74" s="160" t="s">
        <v>840</v>
      </c>
      <c r="T74" s="159" t="s">
        <v>261</v>
      </c>
    </row>
    <row r="75" spans="1:20" ht="63" customHeight="1" x14ac:dyDescent="0.5">
      <c r="A75" s="156" t="s">
        <v>292</v>
      </c>
      <c r="B75" s="156"/>
      <c r="C75" s="155" t="s">
        <v>383</v>
      </c>
      <c r="D75" s="156" t="s">
        <v>282</v>
      </c>
      <c r="E75" s="156" t="s">
        <v>277</v>
      </c>
      <c r="F75" s="156" t="s">
        <v>967</v>
      </c>
      <c r="G75" s="156" t="s">
        <v>824</v>
      </c>
      <c r="H75" s="156" t="s">
        <v>81</v>
      </c>
      <c r="I75" s="156" t="s">
        <v>382</v>
      </c>
      <c r="J75" s="156" t="s">
        <v>825</v>
      </c>
      <c r="K75" s="157">
        <v>4</v>
      </c>
      <c r="L75" s="156" t="s">
        <v>916</v>
      </c>
      <c r="M75" s="156" t="s">
        <v>909</v>
      </c>
      <c r="N75" s="156" t="s">
        <v>964</v>
      </c>
      <c r="O75" s="156" t="s">
        <v>965</v>
      </c>
      <c r="P75" s="156" t="s">
        <v>968</v>
      </c>
      <c r="Q75" s="156"/>
      <c r="R75" s="158" t="s">
        <v>278</v>
      </c>
      <c r="S75" s="156" t="s">
        <v>840</v>
      </c>
      <c r="T75" s="155" t="s">
        <v>261</v>
      </c>
    </row>
    <row r="76" spans="1:20" ht="31.5" customHeight="1" x14ac:dyDescent="0.5">
      <c r="A76" s="160" t="s">
        <v>292</v>
      </c>
      <c r="B76" s="160"/>
      <c r="C76" s="159" t="s">
        <v>385</v>
      </c>
      <c r="D76" s="160" t="s">
        <v>282</v>
      </c>
      <c r="E76" s="160" t="s">
        <v>277</v>
      </c>
      <c r="F76" s="160" t="s">
        <v>967</v>
      </c>
      <c r="G76" s="160" t="s">
        <v>824</v>
      </c>
      <c r="H76" s="160" t="s">
        <v>81</v>
      </c>
      <c r="I76" s="160" t="s">
        <v>289</v>
      </c>
      <c r="J76" s="160" t="s">
        <v>825</v>
      </c>
      <c r="K76" s="161">
        <v>12</v>
      </c>
      <c r="L76" s="160" t="s">
        <v>847</v>
      </c>
      <c r="M76" s="160" t="s">
        <v>909</v>
      </c>
      <c r="N76" s="160" t="s">
        <v>969</v>
      </c>
      <c r="O76" s="160" t="s">
        <v>970</v>
      </c>
      <c r="P76" s="160" t="s">
        <v>937</v>
      </c>
      <c r="Q76" s="160"/>
      <c r="R76" s="162"/>
      <c r="S76" s="160"/>
      <c r="T76" s="159" t="s">
        <v>261</v>
      </c>
    </row>
    <row r="77" spans="1:20" ht="63" customHeight="1" x14ac:dyDescent="0.5">
      <c r="A77" s="156" t="s">
        <v>292</v>
      </c>
      <c r="B77" s="156"/>
      <c r="C77" s="155" t="s">
        <v>387</v>
      </c>
      <c r="D77" s="156" t="s">
        <v>282</v>
      </c>
      <c r="E77" s="156" t="s">
        <v>277</v>
      </c>
      <c r="F77" s="156" t="s">
        <v>967</v>
      </c>
      <c r="G77" s="156" t="s">
        <v>824</v>
      </c>
      <c r="H77" s="156" t="s">
        <v>81</v>
      </c>
      <c r="I77" s="156" t="s">
        <v>382</v>
      </c>
      <c r="J77" s="156" t="s">
        <v>825</v>
      </c>
      <c r="K77" s="157">
        <v>4</v>
      </c>
      <c r="L77" s="156" t="s">
        <v>916</v>
      </c>
      <c r="M77" s="156" t="s">
        <v>909</v>
      </c>
      <c r="N77" s="156" t="s">
        <v>971</v>
      </c>
      <c r="O77" s="156" t="s">
        <v>965</v>
      </c>
      <c r="P77" s="156" t="s">
        <v>918</v>
      </c>
      <c r="Q77" s="156"/>
      <c r="R77" s="158" t="s">
        <v>278</v>
      </c>
      <c r="S77" s="156" t="s">
        <v>840</v>
      </c>
      <c r="T77" s="155" t="s">
        <v>261</v>
      </c>
    </row>
    <row r="78" spans="1:20" ht="31.5" customHeight="1" x14ac:dyDescent="0.5">
      <c r="A78" s="160" t="s">
        <v>292</v>
      </c>
      <c r="B78" s="160"/>
      <c r="C78" s="159" t="s">
        <v>389</v>
      </c>
      <c r="D78" s="160" t="s">
        <v>282</v>
      </c>
      <c r="E78" s="160" t="s">
        <v>277</v>
      </c>
      <c r="F78" s="160" t="s">
        <v>967</v>
      </c>
      <c r="G78" s="160" t="s">
        <v>824</v>
      </c>
      <c r="H78" s="160" t="s">
        <v>81</v>
      </c>
      <c r="I78" s="160" t="s">
        <v>289</v>
      </c>
      <c r="J78" s="160" t="s">
        <v>825</v>
      </c>
      <c r="K78" s="161">
        <v>12</v>
      </c>
      <c r="L78" s="160" t="s">
        <v>932</v>
      </c>
      <c r="M78" s="160" t="s">
        <v>909</v>
      </c>
      <c r="N78" s="160" t="s">
        <v>969</v>
      </c>
      <c r="O78" s="160" t="s">
        <v>970</v>
      </c>
      <c r="P78" s="160" t="s">
        <v>937</v>
      </c>
      <c r="Q78" s="160"/>
      <c r="R78" s="162"/>
      <c r="S78" s="160"/>
      <c r="T78" s="159" t="s">
        <v>261</v>
      </c>
    </row>
    <row r="79" spans="1:20" ht="31.5" customHeight="1" x14ac:dyDescent="0.5">
      <c r="A79" s="156" t="s">
        <v>292</v>
      </c>
      <c r="B79" s="156"/>
      <c r="C79" s="155" t="s">
        <v>390</v>
      </c>
      <c r="D79" s="156" t="s">
        <v>282</v>
      </c>
      <c r="E79" s="156" t="s">
        <v>277</v>
      </c>
      <c r="F79" s="156" t="s">
        <v>972</v>
      </c>
      <c r="G79" s="156" t="s">
        <v>831</v>
      </c>
      <c r="H79" s="156" t="s">
        <v>81</v>
      </c>
      <c r="I79" s="156" t="s">
        <v>314</v>
      </c>
      <c r="J79" s="156" t="s">
        <v>810</v>
      </c>
      <c r="K79" s="157">
        <v>10</v>
      </c>
      <c r="L79" s="156" t="s">
        <v>886</v>
      </c>
      <c r="M79" s="156" t="s">
        <v>834</v>
      </c>
      <c r="N79" s="156" t="s">
        <v>895</v>
      </c>
      <c r="O79" s="156" t="s">
        <v>965</v>
      </c>
      <c r="P79" s="156" t="s">
        <v>895</v>
      </c>
      <c r="Q79" s="156"/>
      <c r="R79" s="158"/>
      <c r="S79" s="156"/>
      <c r="T79" s="155" t="s">
        <v>261</v>
      </c>
    </row>
    <row r="80" spans="1:20" ht="31.5" customHeight="1" x14ac:dyDescent="0.5">
      <c r="A80" s="160" t="s">
        <v>292</v>
      </c>
      <c r="B80" s="160"/>
      <c r="C80" s="159" t="s">
        <v>393</v>
      </c>
      <c r="D80" s="160" t="s">
        <v>282</v>
      </c>
      <c r="E80" s="160" t="s">
        <v>277</v>
      </c>
      <c r="F80" s="160" t="s">
        <v>973</v>
      </c>
      <c r="G80" s="160" t="s">
        <v>831</v>
      </c>
      <c r="H80" s="160" t="s">
        <v>81</v>
      </c>
      <c r="I80" s="160" t="s">
        <v>392</v>
      </c>
      <c r="J80" s="160" t="s">
        <v>810</v>
      </c>
      <c r="K80" s="161">
        <v>22</v>
      </c>
      <c r="L80" s="160" t="s">
        <v>904</v>
      </c>
      <c r="M80" s="160" t="s">
        <v>834</v>
      </c>
      <c r="N80" s="160" t="s">
        <v>974</v>
      </c>
      <c r="O80" s="160" t="s">
        <v>967</v>
      </c>
      <c r="P80" s="160" t="s">
        <v>974</v>
      </c>
      <c r="Q80" s="160"/>
      <c r="R80" s="162"/>
      <c r="S80" s="160"/>
      <c r="T80" s="159" t="s">
        <v>261</v>
      </c>
    </row>
    <row r="81" spans="1:20" ht="42" customHeight="1" x14ac:dyDescent="0.5">
      <c r="A81" s="156" t="s">
        <v>359</v>
      </c>
      <c r="B81" s="156"/>
      <c r="C81" s="155" t="s">
        <v>395</v>
      </c>
      <c r="D81" s="156" t="s">
        <v>288</v>
      </c>
      <c r="E81" s="156" t="s">
        <v>277</v>
      </c>
      <c r="F81" s="156" t="s">
        <v>975</v>
      </c>
      <c r="G81" s="156" t="s">
        <v>938</v>
      </c>
      <c r="H81" s="156" t="s">
        <v>81</v>
      </c>
      <c r="I81" s="156" t="s">
        <v>352</v>
      </c>
      <c r="J81" s="156" t="s">
        <v>110</v>
      </c>
      <c r="K81" s="157">
        <v>5</v>
      </c>
      <c r="L81" s="156" t="s">
        <v>919</v>
      </c>
      <c r="M81" s="156" t="s">
        <v>826</v>
      </c>
      <c r="N81" s="156" t="s">
        <v>964</v>
      </c>
      <c r="O81" s="156" t="s">
        <v>964</v>
      </c>
      <c r="P81" s="156" t="s">
        <v>818</v>
      </c>
      <c r="Q81" s="156"/>
      <c r="R81" s="158" t="s">
        <v>93</v>
      </c>
      <c r="S81" s="156"/>
      <c r="T81" s="155" t="s">
        <v>261</v>
      </c>
    </row>
    <row r="82" spans="1:20" ht="31.5" customHeight="1" x14ac:dyDescent="0.5">
      <c r="A82" s="160" t="s">
        <v>359</v>
      </c>
      <c r="B82" s="160"/>
      <c r="C82" s="159" t="s">
        <v>396</v>
      </c>
      <c r="D82" s="160" t="s">
        <v>288</v>
      </c>
      <c r="E82" s="160" t="s">
        <v>277</v>
      </c>
      <c r="F82" s="160" t="s">
        <v>975</v>
      </c>
      <c r="G82" s="160" t="s">
        <v>938</v>
      </c>
      <c r="H82" s="160" t="s">
        <v>81</v>
      </c>
      <c r="I82" s="160" t="s">
        <v>248</v>
      </c>
      <c r="J82" s="160" t="s">
        <v>110</v>
      </c>
      <c r="K82" s="161">
        <v>5</v>
      </c>
      <c r="L82" s="160" t="s">
        <v>919</v>
      </c>
      <c r="M82" s="160" t="s">
        <v>826</v>
      </c>
      <c r="N82" s="160" t="s">
        <v>964</v>
      </c>
      <c r="O82" s="160" t="s">
        <v>961</v>
      </c>
      <c r="P82" s="160" t="s">
        <v>818</v>
      </c>
      <c r="Q82" s="160"/>
      <c r="R82" s="162" t="s">
        <v>93</v>
      </c>
      <c r="S82" s="160"/>
      <c r="T82" s="159" t="s">
        <v>261</v>
      </c>
    </row>
    <row r="83" spans="1:20" ht="31.5" customHeight="1" x14ac:dyDescent="0.5">
      <c r="A83" s="156" t="s">
        <v>359</v>
      </c>
      <c r="B83" s="156"/>
      <c r="C83" s="155" t="s">
        <v>397</v>
      </c>
      <c r="D83" s="156" t="s">
        <v>288</v>
      </c>
      <c r="E83" s="156" t="s">
        <v>277</v>
      </c>
      <c r="F83" s="156" t="s">
        <v>975</v>
      </c>
      <c r="G83" s="156" t="s">
        <v>938</v>
      </c>
      <c r="H83" s="156" t="s">
        <v>81</v>
      </c>
      <c r="I83" s="156" t="s">
        <v>248</v>
      </c>
      <c r="J83" s="156" t="s">
        <v>110</v>
      </c>
      <c r="K83" s="157">
        <v>5</v>
      </c>
      <c r="L83" s="156" t="s">
        <v>919</v>
      </c>
      <c r="M83" s="156" t="s">
        <v>826</v>
      </c>
      <c r="N83" s="156" t="s">
        <v>976</v>
      </c>
      <c r="O83" s="156" t="s">
        <v>965</v>
      </c>
      <c r="P83" s="156" t="s">
        <v>899</v>
      </c>
      <c r="Q83" s="156"/>
      <c r="R83" s="158" t="s">
        <v>278</v>
      </c>
      <c r="S83" s="156"/>
      <c r="T83" s="155" t="s">
        <v>261</v>
      </c>
    </row>
    <row r="84" spans="1:20" ht="42" customHeight="1" x14ac:dyDescent="0.5">
      <c r="A84" s="160" t="s">
        <v>359</v>
      </c>
      <c r="B84" s="160"/>
      <c r="C84" s="159" t="s">
        <v>398</v>
      </c>
      <c r="D84" s="160" t="s">
        <v>288</v>
      </c>
      <c r="E84" s="160" t="s">
        <v>277</v>
      </c>
      <c r="F84" s="160" t="s">
        <v>975</v>
      </c>
      <c r="G84" s="160" t="s">
        <v>938</v>
      </c>
      <c r="H84" s="160" t="s">
        <v>81</v>
      </c>
      <c r="I84" s="160" t="s">
        <v>352</v>
      </c>
      <c r="J84" s="160" t="s">
        <v>110</v>
      </c>
      <c r="K84" s="161">
        <v>5</v>
      </c>
      <c r="L84" s="160" t="s">
        <v>919</v>
      </c>
      <c r="M84" s="160" t="s">
        <v>826</v>
      </c>
      <c r="N84" s="160" t="s">
        <v>967</v>
      </c>
      <c r="O84" s="160" t="s">
        <v>969</v>
      </c>
      <c r="P84" s="160" t="s">
        <v>899</v>
      </c>
      <c r="Q84" s="160"/>
      <c r="R84" s="162" t="s">
        <v>295</v>
      </c>
      <c r="S84" s="160"/>
      <c r="T84" s="159" t="s">
        <v>261</v>
      </c>
    </row>
    <row r="85" spans="1:20" ht="42" customHeight="1" x14ac:dyDescent="0.5">
      <c r="A85" s="156" t="s">
        <v>292</v>
      </c>
      <c r="B85" s="156"/>
      <c r="C85" s="155" t="s">
        <v>400</v>
      </c>
      <c r="D85" s="156" t="s">
        <v>282</v>
      </c>
      <c r="E85" s="156" t="s">
        <v>277</v>
      </c>
      <c r="F85" s="156" t="s">
        <v>975</v>
      </c>
      <c r="G85" s="156" t="s">
        <v>826</v>
      </c>
      <c r="H85" s="156" t="s">
        <v>81</v>
      </c>
      <c r="I85" s="156" t="s">
        <v>399</v>
      </c>
      <c r="J85" s="156" t="s">
        <v>110</v>
      </c>
      <c r="K85" s="157">
        <v>4</v>
      </c>
      <c r="L85" s="156" t="s">
        <v>977</v>
      </c>
      <c r="M85" s="156" t="s">
        <v>826</v>
      </c>
      <c r="N85" s="156" t="s">
        <v>978</v>
      </c>
      <c r="O85" s="156" t="s">
        <v>972</v>
      </c>
      <c r="P85" s="156" t="s">
        <v>941</v>
      </c>
      <c r="Q85" s="156"/>
      <c r="R85" s="158" t="s">
        <v>278</v>
      </c>
      <c r="S85" s="156"/>
      <c r="T85" s="155" t="s">
        <v>261</v>
      </c>
    </row>
    <row r="86" spans="1:20" ht="42" customHeight="1" x14ac:dyDescent="0.5">
      <c r="A86" s="160" t="s">
        <v>357</v>
      </c>
      <c r="B86" s="160"/>
      <c r="C86" s="159" t="s">
        <v>979</v>
      </c>
      <c r="D86" s="160" t="s">
        <v>282</v>
      </c>
      <c r="E86" s="160" t="s">
        <v>820</v>
      </c>
      <c r="F86" s="160" t="s">
        <v>980</v>
      </c>
      <c r="G86" s="160" t="s">
        <v>891</v>
      </c>
      <c r="H86" s="160" t="s">
        <v>81</v>
      </c>
      <c r="I86" s="160" t="s">
        <v>244</v>
      </c>
      <c r="J86" s="160" t="s">
        <v>110</v>
      </c>
      <c r="K86" s="161">
        <v>20</v>
      </c>
      <c r="L86" s="160"/>
      <c r="M86" s="160"/>
      <c r="N86" s="160"/>
      <c r="O86" s="160"/>
      <c r="P86" s="160"/>
      <c r="Q86" s="160"/>
      <c r="R86" s="162"/>
      <c r="S86" s="160"/>
      <c r="T86" s="159" t="s">
        <v>261</v>
      </c>
    </row>
    <row r="87" spans="1:20" ht="63" customHeight="1" x14ac:dyDescent="0.5">
      <c r="A87" s="156" t="s">
        <v>292</v>
      </c>
      <c r="B87" s="156"/>
      <c r="C87" s="155" t="s">
        <v>981</v>
      </c>
      <c r="D87" s="156" t="s">
        <v>282</v>
      </c>
      <c r="E87" s="156" t="s">
        <v>830</v>
      </c>
      <c r="F87" s="156" t="s">
        <v>982</v>
      </c>
      <c r="G87" s="156" t="s">
        <v>826</v>
      </c>
      <c r="H87" s="156" t="s">
        <v>81</v>
      </c>
      <c r="I87" s="156" t="s">
        <v>694</v>
      </c>
      <c r="J87" s="156" t="s">
        <v>110</v>
      </c>
      <c r="K87" s="157">
        <v>10</v>
      </c>
      <c r="L87" s="156" t="s">
        <v>983</v>
      </c>
      <c r="M87" s="156" t="s">
        <v>826</v>
      </c>
      <c r="N87" s="156" t="s">
        <v>975</v>
      </c>
      <c r="O87" s="156" t="s">
        <v>978</v>
      </c>
      <c r="P87" s="156"/>
      <c r="Q87" s="156"/>
      <c r="R87" s="158"/>
      <c r="S87" s="156"/>
      <c r="T87" s="155" t="s">
        <v>261</v>
      </c>
    </row>
    <row r="88" spans="1:20" ht="42" customHeight="1" x14ac:dyDescent="0.5">
      <c r="A88" s="160" t="s">
        <v>292</v>
      </c>
      <c r="B88" s="160"/>
      <c r="C88" s="159" t="s">
        <v>401</v>
      </c>
      <c r="D88" s="160" t="s">
        <v>282</v>
      </c>
      <c r="E88" s="160" t="s">
        <v>277</v>
      </c>
      <c r="F88" s="160" t="s">
        <v>982</v>
      </c>
      <c r="G88" s="160" t="s">
        <v>826</v>
      </c>
      <c r="H88" s="160" t="s">
        <v>81</v>
      </c>
      <c r="I88" s="160" t="s">
        <v>399</v>
      </c>
      <c r="J88" s="160" t="s">
        <v>110</v>
      </c>
      <c r="K88" s="161">
        <v>4</v>
      </c>
      <c r="L88" s="160" t="s">
        <v>977</v>
      </c>
      <c r="M88" s="160" t="s">
        <v>826</v>
      </c>
      <c r="N88" s="160" t="s">
        <v>980</v>
      </c>
      <c r="O88" s="160" t="s">
        <v>984</v>
      </c>
      <c r="P88" s="160" t="s">
        <v>941</v>
      </c>
      <c r="Q88" s="160"/>
      <c r="R88" s="162" t="s">
        <v>295</v>
      </c>
      <c r="S88" s="160"/>
      <c r="T88" s="159" t="s">
        <v>261</v>
      </c>
    </row>
    <row r="89" spans="1:20" ht="42" customHeight="1" x14ac:dyDescent="0.5">
      <c r="A89" s="156" t="s">
        <v>357</v>
      </c>
      <c r="B89" s="156"/>
      <c r="C89" s="155" t="s">
        <v>985</v>
      </c>
      <c r="D89" s="156" t="s">
        <v>282</v>
      </c>
      <c r="E89" s="156" t="s">
        <v>820</v>
      </c>
      <c r="F89" s="156" t="s">
        <v>986</v>
      </c>
      <c r="G89" s="156" t="s">
        <v>891</v>
      </c>
      <c r="H89" s="156" t="s">
        <v>81</v>
      </c>
      <c r="I89" s="156" t="s">
        <v>244</v>
      </c>
      <c r="J89" s="156" t="s">
        <v>957</v>
      </c>
      <c r="K89" s="157">
        <v>60</v>
      </c>
      <c r="L89" s="156"/>
      <c r="M89" s="156"/>
      <c r="N89" s="156"/>
      <c r="O89" s="156"/>
      <c r="P89" s="156"/>
      <c r="Q89" s="156"/>
      <c r="R89" s="158"/>
      <c r="S89" s="156"/>
      <c r="T89" s="155" t="s">
        <v>261</v>
      </c>
    </row>
    <row r="90" spans="1:20" ht="31.5" customHeight="1" x14ac:dyDescent="0.5">
      <c r="A90" s="160" t="s">
        <v>359</v>
      </c>
      <c r="B90" s="160"/>
      <c r="C90" s="159" t="s">
        <v>402</v>
      </c>
      <c r="D90" s="160" t="s">
        <v>288</v>
      </c>
      <c r="E90" s="160" t="s">
        <v>277</v>
      </c>
      <c r="F90" s="160" t="s">
        <v>986</v>
      </c>
      <c r="G90" s="160" t="s">
        <v>938</v>
      </c>
      <c r="H90" s="160" t="s">
        <v>81</v>
      </c>
      <c r="I90" s="160" t="s">
        <v>248</v>
      </c>
      <c r="J90" s="160" t="s">
        <v>110</v>
      </c>
      <c r="K90" s="161">
        <v>5</v>
      </c>
      <c r="L90" s="160" t="s">
        <v>919</v>
      </c>
      <c r="M90" s="160" t="s">
        <v>826</v>
      </c>
      <c r="N90" s="160" t="s">
        <v>978</v>
      </c>
      <c r="O90" s="160" t="s">
        <v>973</v>
      </c>
      <c r="P90" s="160" t="s">
        <v>899</v>
      </c>
      <c r="Q90" s="160"/>
      <c r="R90" s="162" t="s">
        <v>278</v>
      </c>
      <c r="S90" s="160"/>
      <c r="T90" s="159" t="s">
        <v>261</v>
      </c>
    </row>
    <row r="91" spans="1:20" ht="42" customHeight="1" x14ac:dyDescent="0.5">
      <c r="A91" s="156" t="s">
        <v>359</v>
      </c>
      <c r="B91" s="156"/>
      <c r="C91" s="155" t="s">
        <v>403</v>
      </c>
      <c r="D91" s="156" t="s">
        <v>288</v>
      </c>
      <c r="E91" s="156" t="s">
        <v>277</v>
      </c>
      <c r="F91" s="156" t="s">
        <v>986</v>
      </c>
      <c r="G91" s="156" t="s">
        <v>938</v>
      </c>
      <c r="H91" s="156" t="s">
        <v>81</v>
      </c>
      <c r="I91" s="156" t="s">
        <v>352</v>
      </c>
      <c r="J91" s="156" t="s">
        <v>110</v>
      </c>
      <c r="K91" s="157">
        <v>5</v>
      </c>
      <c r="L91" s="156" t="s">
        <v>919</v>
      </c>
      <c r="M91" s="156" t="s">
        <v>826</v>
      </c>
      <c r="N91" s="156" t="s">
        <v>984</v>
      </c>
      <c r="O91" s="156" t="s">
        <v>980</v>
      </c>
      <c r="P91" s="156" t="s">
        <v>899</v>
      </c>
      <c r="Q91" s="156"/>
      <c r="R91" s="158" t="s">
        <v>295</v>
      </c>
      <c r="S91" s="156"/>
      <c r="T91" s="155" t="s">
        <v>261</v>
      </c>
    </row>
    <row r="92" spans="1:20" ht="42" customHeight="1" x14ac:dyDescent="0.5">
      <c r="A92" s="160" t="s">
        <v>357</v>
      </c>
      <c r="B92" s="160"/>
      <c r="C92" s="159" t="s">
        <v>987</v>
      </c>
      <c r="D92" s="160" t="s">
        <v>282</v>
      </c>
      <c r="E92" s="160" t="s">
        <v>820</v>
      </c>
      <c r="F92" s="160" t="s">
        <v>986</v>
      </c>
      <c r="G92" s="160" t="s">
        <v>891</v>
      </c>
      <c r="H92" s="160" t="s">
        <v>81</v>
      </c>
      <c r="I92" s="160" t="s">
        <v>244</v>
      </c>
      <c r="J92" s="160" t="s">
        <v>957</v>
      </c>
      <c r="K92" s="161">
        <v>20</v>
      </c>
      <c r="L92" s="160"/>
      <c r="M92" s="160"/>
      <c r="N92" s="160"/>
      <c r="O92" s="160"/>
      <c r="P92" s="160"/>
      <c r="Q92" s="160"/>
      <c r="R92" s="162"/>
      <c r="S92" s="160"/>
      <c r="T92" s="159" t="s">
        <v>261</v>
      </c>
    </row>
    <row r="93" spans="1:20" ht="42" customHeight="1" x14ac:dyDescent="0.5">
      <c r="A93" s="156" t="s">
        <v>357</v>
      </c>
      <c r="B93" s="156"/>
      <c r="C93" s="155" t="s">
        <v>988</v>
      </c>
      <c r="D93" s="156" t="s">
        <v>282</v>
      </c>
      <c r="E93" s="156" t="s">
        <v>820</v>
      </c>
      <c r="F93" s="156" t="s">
        <v>986</v>
      </c>
      <c r="G93" s="156" t="s">
        <v>891</v>
      </c>
      <c r="H93" s="156" t="s">
        <v>81</v>
      </c>
      <c r="I93" s="156" t="s">
        <v>244</v>
      </c>
      <c r="J93" s="156" t="s">
        <v>957</v>
      </c>
      <c r="K93" s="157">
        <v>20</v>
      </c>
      <c r="L93" s="156"/>
      <c r="M93" s="156"/>
      <c r="N93" s="156"/>
      <c r="O93" s="156"/>
      <c r="P93" s="156"/>
      <c r="Q93" s="156"/>
      <c r="R93" s="158"/>
      <c r="S93" s="156"/>
      <c r="T93" s="155" t="s">
        <v>261</v>
      </c>
    </row>
    <row r="94" spans="1:20" ht="52.5" customHeight="1" x14ac:dyDescent="0.5">
      <c r="A94" s="160" t="s">
        <v>357</v>
      </c>
      <c r="B94" s="160"/>
      <c r="C94" s="159" t="s">
        <v>989</v>
      </c>
      <c r="D94" s="160" t="s">
        <v>282</v>
      </c>
      <c r="E94" s="160" t="s">
        <v>820</v>
      </c>
      <c r="F94" s="160" t="s">
        <v>986</v>
      </c>
      <c r="G94" s="160" t="s">
        <v>824</v>
      </c>
      <c r="H94" s="160" t="s">
        <v>81</v>
      </c>
      <c r="I94" s="160" t="s">
        <v>990</v>
      </c>
      <c r="J94" s="160" t="s">
        <v>825</v>
      </c>
      <c r="K94" s="161">
        <v>2</v>
      </c>
      <c r="L94" s="160"/>
      <c r="M94" s="160"/>
      <c r="N94" s="160"/>
      <c r="O94" s="160"/>
      <c r="P94" s="160"/>
      <c r="Q94" s="160"/>
      <c r="R94" s="162"/>
      <c r="S94" s="160" t="s">
        <v>840</v>
      </c>
      <c r="T94" s="159" t="s">
        <v>261</v>
      </c>
    </row>
    <row r="95" spans="1:20" ht="42" customHeight="1" x14ac:dyDescent="0.5">
      <c r="A95" s="156" t="s">
        <v>357</v>
      </c>
      <c r="B95" s="156"/>
      <c r="C95" s="155" t="s">
        <v>405</v>
      </c>
      <c r="D95" s="156" t="s">
        <v>282</v>
      </c>
      <c r="E95" s="156" t="s">
        <v>277</v>
      </c>
      <c r="F95" s="156" t="s">
        <v>986</v>
      </c>
      <c r="G95" s="156" t="s">
        <v>824</v>
      </c>
      <c r="H95" s="156" t="s">
        <v>81</v>
      </c>
      <c r="I95" s="156" t="s">
        <v>404</v>
      </c>
      <c r="J95" s="156" t="s">
        <v>825</v>
      </c>
      <c r="K95" s="157">
        <v>2</v>
      </c>
      <c r="L95" s="156" t="s">
        <v>991</v>
      </c>
      <c r="M95" s="156" t="s">
        <v>909</v>
      </c>
      <c r="N95" s="156" t="s">
        <v>972</v>
      </c>
      <c r="O95" s="156" t="s">
        <v>972</v>
      </c>
      <c r="P95" s="156" t="s">
        <v>965</v>
      </c>
      <c r="Q95" s="156"/>
      <c r="R95" s="158" t="s">
        <v>295</v>
      </c>
      <c r="S95" s="156" t="s">
        <v>840</v>
      </c>
      <c r="T95" s="155" t="s">
        <v>261</v>
      </c>
    </row>
    <row r="96" spans="1:20" ht="42" customHeight="1" x14ac:dyDescent="0.5">
      <c r="A96" s="160" t="s">
        <v>357</v>
      </c>
      <c r="B96" s="160"/>
      <c r="C96" s="159" t="s">
        <v>408</v>
      </c>
      <c r="D96" s="160" t="s">
        <v>282</v>
      </c>
      <c r="E96" s="160" t="s">
        <v>277</v>
      </c>
      <c r="F96" s="160" t="s">
        <v>986</v>
      </c>
      <c r="G96" s="160" t="s">
        <v>824</v>
      </c>
      <c r="H96" s="160" t="s">
        <v>81</v>
      </c>
      <c r="I96" s="160" t="s">
        <v>407</v>
      </c>
      <c r="J96" s="160" t="s">
        <v>825</v>
      </c>
      <c r="K96" s="161">
        <v>1</v>
      </c>
      <c r="L96" s="160" t="s">
        <v>919</v>
      </c>
      <c r="M96" s="160" t="s">
        <v>909</v>
      </c>
      <c r="N96" s="160" t="s">
        <v>967</v>
      </c>
      <c r="O96" s="160" t="s">
        <v>969</v>
      </c>
      <c r="P96" s="160" t="s">
        <v>965</v>
      </c>
      <c r="Q96" s="160"/>
      <c r="R96" s="162" t="s">
        <v>295</v>
      </c>
      <c r="S96" s="160" t="s">
        <v>840</v>
      </c>
      <c r="T96" s="159" t="s">
        <v>261</v>
      </c>
    </row>
    <row r="97" spans="1:20" ht="31.5" customHeight="1" x14ac:dyDescent="0.5">
      <c r="A97" s="156" t="s">
        <v>357</v>
      </c>
      <c r="B97" s="156"/>
      <c r="C97" s="155" t="s">
        <v>410</v>
      </c>
      <c r="D97" s="156" t="s">
        <v>282</v>
      </c>
      <c r="E97" s="156" t="s">
        <v>277</v>
      </c>
      <c r="F97" s="156" t="s">
        <v>986</v>
      </c>
      <c r="G97" s="156" t="s">
        <v>824</v>
      </c>
      <c r="H97" s="156" t="s">
        <v>81</v>
      </c>
      <c r="I97" s="156" t="s">
        <v>409</v>
      </c>
      <c r="J97" s="156" t="s">
        <v>825</v>
      </c>
      <c r="K97" s="157">
        <v>4</v>
      </c>
      <c r="L97" s="156" t="s">
        <v>992</v>
      </c>
      <c r="M97" s="156" t="s">
        <v>909</v>
      </c>
      <c r="N97" s="156" t="s">
        <v>972</v>
      </c>
      <c r="O97" s="156" t="s">
        <v>967</v>
      </c>
      <c r="P97" s="156" t="s">
        <v>965</v>
      </c>
      <c r="Q97" s="156"/>
      <c r="R97" s="158" t="s">
        <v>295</v>
      </c>
      <c r="S97" s="156" t="s">
        <v>840</v>
      </c>
      <c r="T97" s="155" t="s">
        <v>261</v>
      </c>
    </row>
    <row r="98" spans="1:20" ht="52.5" customHeight="1" x14ac:dyDescent="0.5">
      <c r="A98" s="160" t="s">
        <v>357</v>
      </c>
      <c r="B98" s="160"/>
      <c r="C98" s="159" t="s">
        <v>412</v>
      </c>
      <c r="D98" s="160" t="s">
        <v>282</v>
      </c>
      <c r="E98" s="160" t="s">
        <v>277</v>
      </c>
      <c r="F98" s="160" t="s">
        <v>986</v>
      </c>
      <c r="G98" s="160" t="s">
        <v>824</v>
      </c>
      <c r="H98" s="160" t="s">
        <v>81</v>
      </c>
      <c r="I98" s="160" t="s">
        <v>411</v>
      </c>
      <c r="J98" s="160" t="s">
        <v>825</v>
      </c>
      <c r="K98" s="161">
        <v>2</v>
      </c>
      <c r="L98" s="160" t="s">
        <v>916</v>
      </c>
      <c r="M98" s="160" t="s">
        <v>909</v>
      </c>
      <c r="N98" s="160" t="s">
        <v>967</v>
      </c>
      <c r="O98" s="160" t="s">
        <v>973</v>
      </c>
      <c r="P98" s="160" t="s">
        <v>965</v>
      </c>
      <c r="Q98" s="160"/>
      <c r="R98" s="162" t="s">
        <v>295</v>
      </c>
      <c r="S98" s="160" t="s">
        <v>840</v>
      </c>
      <c r="T98" s="159" t="s">
        <v>261</v>
      </c>
    </row>
    <row r="99" spans="1:20" ht="42" customHeight="1" x14ac:dyDescent="0.5">
      <c r="A99" s="156" t="s">
        <v>357</v>
      </c>
      <c r="B99" s="156"/>
      <c r="C99" s="155" t="s">
        <v>414</v>
      </c>
      <c r="D99" s="156" t="s">
        <v>282</v>
      </c>
      <c r="E99" s="156" t="s">
        <v>277</v>
      </c>
      <c r="F99" s="156" t="s">
        <v>986</v>
      </c>
      <c r="G99" s="156" t="s">
        <v>824</v>
      </c>
      <c r="H99" s="156" t="s">
        <v>81</v>
      </c>
      <c r="I99" s="156" t="s">
        <v>413</v>
      </c>
      <c r="J99" s="156" t="s">
        <v>825</v>
      </c>
      <c r="K99" s="157">
        <v>2</v>
      </c>
      <c r="L99" s="156" t="s">
        <v>916</v>
      </c>
      <c r="M99" s="156" t="s">
        <v>909</v>
      </c>
      <c r="N99" s="156" t="s">
        <v>978</v>
      </c>
      <c r="O99" s="156" t="s">
        <v>973</v>
      </c>
      <c r="P99" s="156" t="s">
        <v>965</v>
      </c>
      <c r="Q99" s="156"/>
      <c r="R99" s="158" t="s">
        <v>295</v>
      </c>
      <c r="S99" s="156" t="s">
        <v>840</v>
      </c>
      <c r="T99" s="155" t="s">
        <v>261</v>
      </c>
    </row>
    <row r="100" spans="1:20" ht="42" customHeight="1" x14ac:dyDescent="0.5">
      <c r="A100" s="160" t="s">
        <v>357</v>
      </c>
      <c r="B100" s="160"/>
      <c r="C100" s="159" t="s">
        <v>416</v>
      </c>
      <c r="D100" s="160" t="s">
        <v>282</v>
      </c>
      <c r="E100" s="160" t="s">
        <v>277</v>
      </c>
      <c r="F100" s="160" t="s">
        <v>986</v>
      </c>
      <c r="G100" s="160" t="s">
        <v>824</v>
      </c>
      <c r="H100" s="160" t="s">
        <v>81</v>
      </c>
      <c r="I100" s="160" t="s">
        <v>415</v>
      </c>
      <c r="J100" s="160" t="s">
        <v>825</v>
      </c>
      <c r="K100" s="161">
        <v>2</v>
      </c>
      <c r="L100" s="160" t="s">
        <v>992</v>
      </c>
      <c r="M100" s="160" t="s">
        <v>909</v>
      </c>
      <c r="N100" s="160" t="s">
        <v>973</v>
      </c>
      <c r="O100" s="160" t="s">
        <v>971</v>
      </c>
      <c r="P100" s="160" t="s">
        <v>965</v>
      </c>
      <c r="Q100" s="160"/>
      <c r="R100" s="162" t="s">
        <v>295</v>
      </c>
      <c r="S100" s="160" t="s">
        <v>840</v>
      </c>
      <c r="T100" s="159" t="s">
        <v>261</v>
      </c>
    </row>
    <row r="101" spans="1:20" ht="63" customHeight="1" x14ac:dyDescent="0.5">
      <c r="A101" s="156" t="s">
        <v>357</v>
      </c>
      <c r="B101" s="156"/>
      <c r="C101" s="155" t="s">
        <v>418</v>
      </c>
      <c r="D101" s="156" t="s">
        <v>282</v>
      </c>
      <c r="E101" s="156" t="s">
        <v>277</v>
      </c>
      <c r="F101" s="156" t="s">
        <v>986</v>
      </c>
      <c r="G101" s="156" t="s">
        <v>824</v>
      </c>
      <c r="H101" s="156" t="s">
        <v>81</v>
      </c>
      <c r="I101" s="156" t="s">
        <v>417</v>
      </c>
      <c r="J101" s="156" t="s">
        <v>825</v>
      </c>
      <c r="K101" s="157">
        <v>2</v>
      </c>
      <c r="L101" s="156" t="s">
        <v>919</v>
      </c>
      <c r="M101" s="156" t="s">
        <v>909</v>
      </c>
      <c r="N101" s="156" t="s">
        <v>978</v>
      </c>
      <c r="O101" s="156" t="s">
        <v>972</v>
      </c>
      <c r="P101" s="156" t="s">
        <v>965</v>
      </c>
      <c r="Q101" s="156"/>
      <c r="R101" s="158" t="s">
        <v>295</v>
      </c>
      <c r="S101" s="156" t="s">
        <v>840</v>
      </c>
      <c r="T101" s="155" t="s">
        <v>261</v>
      </c>
    </row>
    <row r="102" spans="1:20" ht="52.5" customHeight="1" x14ac:dyDescent="0.5">
      <c r="A102" s="160" t="s">
        <v>357</v>
      </c>
      <c r="B102" s="160"/>
      <c r="C102" s="159" t="s">
        <v>420</v>
      </c>
      <c r="D102" s="160" t="s">
        <v>282</v>
      </c>
      <c r="E102" s="160" t="s">
        <v>277</v>
      </c>
      <c r="F102" s="160" t="s">
        <v>986</v>
      </c>
      <c r="G102" s="160" t="s">
        <v>824</v>
      </c>
      <c r="H102" s="160" t="s">
        <v>81</v>
      </c>
      <c r="I102" s="160" t="s">
        <v>419</v>
      </c>
      <c r="J102" s="160" t="s">
        <v>825</v>
      </c>
      <c r="K102" s="161">
        <v>2</v>
      </c>
      <c r="L102" s="160" t="s">
        <v>977</v>
      </c>
      <c r="M102" s="160" t="s">
        <v>909</v>
      </c>
      <c r="N102" s="160" t="s">
        <v>978</v>
      </c>
      <c r="O102" s="160" t="s">
        <v>972</v>
      </c>
      <c r="P102" s="160" t="s">
        <v>965</v>
      </c>
      <c r="Q102" s="160"/>
      <c r="R102" s="162" t="s">
        <v>295</v>
      </c>
      <c r="S102" s="160" t="s">
        <v>840</v>
      </c>
      <c r="T102" s="159" t="s">
        <v>261</v>
      </c>
    </row>
    <row r="103" spans="1:20" ht="31.5" customHeight="1" x14ac:dyDescent="0.5">
      <c r="A103" s="156" t="s">
        <v>421</v>
      </c>
      <c r="B103" s="156"/>
      <c r="C103" s="155" t="s">
        <v>422</v>
      </c>
      <c r="D103" s="156" t="s">
        <v>288</v>
      </c>
      <c r="E103" s="156" t="s">
        <v>277</v>
      </c>
      <c r="F103" s="156" t="s">
        <v>993</v>
      </c>
      <c r="G103" s="156" t="s">
        <v>824</v>
      </c>
      <c r="H103" s="156" t="s">
        <v>81</v>
      </c>
      <c r="I103" s="156" t="s">
        <v>289</v>
      </c>
      <c r="J103" s="156" t="s">
        <v>825</v>
      </c>
      <c r="K103" s="157">
        <v>16</v>
      </c>
      <c r="L103" s="156" t="s">
        <v>932</v>
      </c>
      <c r="M103" s="156" t="s">
        <v>826</v>
      </c>
      <c r="N103" s="156" t="s">
        <v>986</v>
      </c>
      <c r="O103" s="156" t="s">
        <v>973</v>
      </c>
      <c r="P103" s="156" t="s">
        <v>941</v>
      </c>
      <c r="Q103" s="156">
        <v>2.81</v>
      </c>
      <c r="R103" s="158"/>
      <c r="S103" s="156"/>
      <c r="T103" s="155" t="s">
        <v>261</v>
      </c>
    </row>
    <row r="104" spans="1:20" ht="31.5" customHeight="1" x14ac:dyDescent="0.5">
      <c r="A104" s="160" t="s">
        <v>424</v>
      </c>
      <c r="B104" s="160"/>
      <c r="C104" s="159" t="s">
        <v>425</v>
      </c>
      <c r="D104" s="160" t="s">
        <v>282</v>
      </c>
      <c r="E104" s="160" t="s">
        <v>277</v>
      </c>
      <c r="F104" s="160" t="s">
        <v>993</v>
      </c>
      <c r="G104" s="160" t="s">
        <v>824</v>
      </c>
      <c r="H104" s="160" t="s">
        <v>81</v>
      </c>
      <c r="I104" s="160" t="s">
        <v>289</v>
      </c>
      <c r="J104" s="160" t="s">
        <v>825</v>
      </c>
      <c r="K104" s="161">
        <v>16</v>
      </c>
      <c r="L104" s="160" t="s">
        <v>847</v>
      </c>
      <c r="M104" s="160" t="s">
        <v>909</v>
      </c>
      <c r="N104" s="160" t="s">
        <v>986</v>
      </c>
      <c r="O104" s="160" t="s">
        <v>973</v>
      </c>
      <c r="P104" s="160" t="s">
        <v>965</v>
      </c>
      <c r="Q104" s="160">
        <v>2.75</v>
      </c>
      <c r="R104" s="162"/>
      <c r="S104" s="160"/>
      <c r="T104" s="159" t="s">
        <v>261</v>
      </c>
    </row>
    <row r="105" spans="1:20" ht="31.5" customHeight="1" x14ac:dyDescent="0.5">
      <c r="A105" s="156" t="s">
        <v>292</v>
      </c>
      <c r="B105" s="156"/>
      <c r="C105" s="155" t="s">
        <v>427</v>
      </c>
      <c r="D105" s="156" t="s">
        <v>282</v>
      </c>
      <c r="E105" s="156" t="s">
        <v>277</v>
      </c>
      <c r="F105" s="156" t="s">
        <v>993</v>
      </c>
      <c r="G105" s="156" t="s">
        <v>831</v>
      </c>
      <c r="H105" s="156" t="s">
        <v>81</v>
      </c>
      <c r="I105" s="156" t="s">
        <v>392</v>
      </c>
      <c r="J105" s="156" t="s">
        <v>810</v>
      </c>
      <c r="K105" s="157">
        <v>15</v>
      </c>
      <c r="L105" s="156" t="s">
        <v>882</v>
      </c>
      <c r="M105" s="156" t="s">
        <v>834</v>
      </c>
      <c r="N105" s="156" t="s">
        <v>885</v>
      </c>
      <c r="O105" s="156" t="s">
        <v>986</v>
      </c>
      <c r="P105" s="156" t="s">
        <v>888</v>
      </c>
      <c r="Q105" s="156"/>
      <c r="R105" s="158"/>
      <c r="S105" s="156"/>
      <c r="T105" s="155" t="s">
        <v>261</v>
      </c>
    </row>
    <row r="106" spans="1:20" ht="63" customHeight="1" x14ac:dyDescent="0.5">
      <c r="A106" s="160" t="s">
        <v>357</v>
      </c>
      <c r="B106" s="160"/>
      <c r="C106" s="159" t="s">
        <v>994</v>
      </c>
      <c r="D106" s="160" t="s">
        <v>282</v>
      </c>
      <c r="E106" s="160" t="s">
        <v>820</v>
      </c>
      <c r="F106" s="160" t="s">
        <v>995</v>
      </c>
      <c r="G106" s="160" t="s">
        <v>826</v>
      </c>
      <c r="H106" s="160" t="s">
        <v>81</v>
      </c>
      <c r="I106" s="160" t="s">
        <v>635</v>
      </c>
      <c r="J106" s="160" t="s">
        <v>110</v>
      </c>
      <c r="K106" s="161">
        <v>100</v>
      </c>
      <c r="L106" s="160"/>
      <c r="M106" s="160"/>
      <c r="N106" s="160"/>
      <c r="O106" s="160"/>
      <c r="P106" s="160"/>
      <c r="Q106" s="160"/>
      <c r="R106" s="162"/>
      <c r="S106" s="160"/>
      <c r="T106" s="159" t="s">
        <v>261</v>
      </c>
    </row>
    <row r="107" spans="1:20" ht="73.5" customHeight="1" x14ac:dyDescent="0.5">
      <c r="A107" s="156" t="s">
        <v>357</v>
      </c>
      <c r="B107" s="156"/>
      <c r="C107" s="155" t="s">
        <v>996</v>
      </c>
      <c r="D107" s="156" t="s">
        <v>282</v>
      </c>
      <c r="E107" s="156" t="s">
        <v>820</v>
      </c>
      <c r="F107" s="156" t="s">
        <v>995</v>
      </c>
      <c r="G107" s="156" t="s">
        <v>826</v>
      </c>
      <c r="H107" s="156" t="s">
        <v>81</v>
      </c>
      <c r="I107" s="156" t="s">
        <v>632</v>
      </c>
      <c r="J107" s="156" t="s">
        <v>110</v>
      </c>
      <c r="K107" s="157">
        <v>100</v>
      </c>
      <c r="L107" s="156"/>
      <c r="M107" s="156"/>
      <c r="N107" s="156"/>
      <c r="O107" s="156"/>
      <c r="P107" s="156"/>
      <c r="Q107" s="156"/>
      <c r="R107" s="158"/>
      <c r="S107" s="156"/>
      <c r="T107" s="155" t="s">
        <v>261</v>
      </c>
    </row>
    <row r="108" spans="1:20" ht="42" customHeight="1" x14ac:dyDescent="0.5">
      <c r="A108" s="160" t="s">
        <v>357</v>
      </c>
      <c r="B108" s="160"/>
      <c r="C108" s="159" t="s">
        <v>428</v>
      </c>
      <c r="D108" s="160" t="s">
        <v>282</v>
      </c>
      <c r="E108" s="160" t="s">
        <v>277</v>
      </c>
      <c r="F108" s="160" t="s">
        <v>997</v>
      </c>
      <c r="G108" s="160" t="s">
        <v>998</v>
      </c>
      <c r="H108" s="160" t="s">
        <v>81</v>
      </c>
      <c r="I108" s="160" t="s">
        <v>399</v>
      </c>
      <c r="J108" s="160" t="s">
        <v>110</v>
      </c>
      <c r="K108" s="161">
        <v>10</v>
      </c>
      <c r="L108" s="160" t="s">
        <v>847</v>
      </c>
      <c r="M108" s="160" t="s">
        <v>826</v>
      </c>
      <c r="N108" s="160" t="s">
        <v>982</v>
      </c>
      <c r="O108" s="160" t="s">
        <v>982</v>
      </c>
      <c r="P108" s="160" t="s">
        <v>982</v>
      </c>
      <c r="Q108" s="160"/>
      <c r="R108" s="162" t="s">
        <v>295</v>
      </c>
      <c r="S108" s="160"/>
      <c r="T108" s="159" t="s">
        <v>261</v>
      </c>
    </row>
    <row r="109" spans="1:20" ht="42" customHeight="1" x14ac:dyDescent="0.5">
      <c r="A109" s="156" t="s">
        <v>87</v>
      </c>
      <c r="B109" s="156"/>
      <c r="C109" s="155" t="s">
        <v>431</v>
      </c>
      <c r="D109" s="156" t="s">
        <v>282</v>
      </c>
      <c r="E109" s="156" t="s">
        <v>277</v>
      </c>
      <c r="F109" s="156" t="s">
        <v>999</v>
      </c>
      <c r="G109" s="156" t="s">
        <v>815</v>
      </c>
      <c r="H109" s="156" t="s">
        <v>81</v>
      </c>
      <c r="I109" s="156" t="s">
        <v>399</v>
      </c>
      <c r="J109" s="156" t="s">
        <v>110</v>
      </c>
      <c r="K109" s="157">
        <v>20</v>
      </c>
      <c r="L109" s="156" t="s">
        <v>847</v>
      </c>
      <c r="M109" s="156" t="s">
        <v>826</v>
      </c>
      <c r="N109" s="156" t="s">
        <v>982</v>
      </c>
      <c r="O109" s="156" t="s">
        <v>982</v>
      </c>
      <c r="P109" s="156" t="s">
        <v>982</v>
      </c>
      <c r="Q109" s="156"/>
      <c r="R109" s="158" t="s">
        <v>295</v>
      </c>
      <c r="S109" s="156"/>
      <c r="T109" s="155" t="s">
        <v>261</v>
      </c>
    </row>
    <row r="110" spans="1:20" ht="31.5" customHeight="1" x14ac:dyDescent="0.5">
      <c r="A110" s="160" t="s">
        <v>87</v>
      </c>
      <c r="B110" s="160"/>
      <c r="C110" s="159" t="s">
        <v>433</v>
      </c>
      <c r="D110" s="160" t="s">
        <v>282</v>
      </c>
      <c r="E110" s="160" t="s">
        <v>277</v>
      </c>
      <c r="F110" s="160" t="s">
        <v>999</v>
      </c>
      <c r="G110" s="160" t="s">
        <v>826</v>
      </c>
      <c r="H110" s="160" t="s">
        <v>81</v>
      </c>
      <c r="I110" s="160" t="s">
        <v>337</v>
      </c>
      <c r="J110" s="160" t="s">
        <v>110</v>
      </c>
      <c r="K110" s="161">
        <v>2</v>
      </c>
      <c r="L110" s="160" t="s">
        <v>1000</v>
      </c>
      <c r="M110" s="160" t="s">
        <v>826</v>
      </c>
      <c r="N110" s="160" t="s">
        <v>1001</v>
      </c>
      <c r="O110" s="160" t="s">
        <v>995</v>
      </c>
      <c r="P110" s="160" t="s">
        <v>941</v>
      </c>
      <c r="Q110" s="160"/>
      <c r="R110" s="162" t="s">
        <v>295</v>
      </c>
      <c r="S110" s="160"/>
      <c r="T110" s="159" t="s">
        <v>261</v>
      </c>
    </row>
    <row r="111" spans="1:20" ht="31.5" customHeight="1" x14ac:dyDescent="0.5">
      <c r="A111" s="156" t="s">
        <v>87</v>
      </c>
      <c r="B111" s="156"/>
      <c r="C111" s="155" t="s">
        <v>434</v>
      </c>
      <c r="D111" s="156" t="s">
        <v>288</v>
      </c>
      <c r="E111" s="156" t="s">
        <v>277</v>
      </c>
      <c r="F111" s="156" t="s">
        <v>999</v>
      </c>
      <c r="G111" s="156" t="s">
        <v>831</v>
      </c>
      <c r="H111" s="156" t="s">
        <v>81</v>
      </c>
      <c r="I111" s="156" t="s">
        <v>317</v>
      </c>
      <c r="J111" s="156" t="s">
        <v>810</v>
      </c>
      <c r="K111" s="157">
        <v>1</v>
      </c>
      <c r="L111" s="156" t="s">
        <v>1002</v>
      </c>
      <c r="M111" s="156" t="s">
        <v>834</v>
      </c>
      <c r="N111" s="156" t="s">
        <v>974</v>
      </c>
      <c r="O111" s="156" t="s">
        <v>986</v>
      </c>
      <c r="P111" s="156" t="s">
        <v>974</v>
      </c>
      <c r="Q111" s="156"/>
      <c r="R111" s="158"/>
      <c r="S111" s="156"/>
      <c r="T111" s="155" t="s">
        <v>261</v>
      </c>
    </row>
    <row r="112" spans="1:20" ht="52.5" customHeight="1" x14ac:dyDescent="0.5">
      <c r="A112" s="160" t="s">
        <v>357</v>
      </c>
      <c r="B112" s="160"/>
      <c r="C112" s="159" t="s">
        <v>1003</v>
      </c>
      <c r="D112" s="160" t="s">
        <v>282</v>
      </c>
      <c r="E112" s="160" t="s">
        <v>820</v>
      </c>
      <c r="F112" s="160" t="s">
        <v>1004</v>
      </c>
      <c r="G112" s="160" t="s">
        <v>826</v>
      </c>
      <c r="H112" s="160" t="s">
        <v>81</v>
      </c>
      <c r="I112" s="160" t="s">
        <v>990</v>
      </c>
      <c r="J112" s="160" t="s">
        <v>1005</v>
      </c>
      <c r="K112" s="161">
        <v>4</v>
      </c>
      <c r="L112" s="160"/>
      <c r="M112" s="160"/>
      <c r="N112" s="160"/>
      <c r="O112" s="160"/>
      <c r="P112" s="160"/>
      <c r="Q112" s="160"/>
      <c r="R112" s="162"/>
      <c r="S112" s="160" t="s">
        <v>840</v>
      </c>
      <c r="T112" s="159" t="s">
        <v>261</v>
      </c>
    </row>
    <row r="113" spans="1:20" ht="42" customHeight="1" x14ac:dyDescent="0.5">
      <c r="A113" s="156" t="s">
        <v>87</v>
      </c>
      <c r="B113" s="156"/>
      <c r="C113" s="155" t="s">
        <v>435</v>
      </c>
      <c r="D113" s="156" t="s">
        <v>282</v>
      </c>
      <c r="E113" s="156" t="s">
        <v>277</v>
      </c>
      <c r="F113" s="156" t="s">
        <v>1006</v>
      </c>
      <c r="G113" s="156" t="s">
        <v>826</v>
      </c>
      <c r="H113" s="156" t="s">
        <v>81</v>
      </c>
      <c r="I113" s="156" t="s">
        <v>399</v>
      </c>
      <c r="J113" s="156" t="s">
        <v>110</v>
      </c>
      <c r="K113" s="157">
        <v>3</v>
      </c>
      <c r="L113" s="156" t="s">
        <v>977</v>
      </c>
      <c r="M113" s="156" t="s">
        <v>826</v>
      </c>
      <c r="N113" s="156" t="s">
        <v>999</v>
      </c>
      <c r="O113" s="156" t="s">
        <v>999</v>
      </c>
      <c r="P113" s="156" t="s">
        <v>999</v>
      </c>
      <c r="Q113" s="156"/>
      <c r="R113" s="158" t="s">
        <v>295</v>
      </c>
      <c r="S113" s="156"/>
      <c r="T113" s="155" t="s">
        <v>261</v>
      </c>
    </row>
    <row r="114" spans="1:20" ht="31.5" customHeight="1" x14ac:dyDescent="0.5">
      <c r="A114" s="160" t="s">
        <v>292</v>
      </c>
      <c r="B114" s="160"/>
      <c r="C114" s="159" t="s">
        <v>437</v>
      </c>
      <c r="D114" s="160" t="s">
        <v>282</v>
      </c>
      <c r="E114" s="160" t="s">
        <v>277</v>
      </c>
      <c r="F114" s="160" t="s">
        <v>1006</v>
      </c>
      <c r="G114" s="160" t="s">
        <v>831</v>
      </c>
      <c r="H114" s="160" t="s">
        <v>81</v>
      </c>
      <c r="I114" s="160" t="s">
        <v>314</v>
      </c>
      <c r="J114" s="160" t="s">
        <v>810</v>
      </c>
      <c r="K114" s="161">
        <v>19</v>
      </c>
      <c r="L114" s="160" t="s">
        <v>1007</v>
      </c>
      <c r="M114" s="160" t="s">
        <v>834</v>
      </c>
      <c r="N114" s="160" t="s">
        <v>888</v>
      </c>
      <c r="O114" s="160" t="s">
        <v>993</v>
      </c>
      <c r="P114" s="160" t="s">
        <v>888</v>
      </c>
      <c r="Q114" s="160"/>
      <c r="R114" s="162"/>
      <c r="S114" s="160"/>
      <c r="T114" s="159" t="s">
        <v>261</v>
      </c>
    </row>
    <row r="115" spans="1:20" ht="31.5" customHeight="1" x14ac:dyDescent="0.5">
      <c r="A115" s="156" t="s">
        <v>87</v>
      </c>
      <c r="B115" s="156"/>
      <c r="C115" s="155" t="s">
        <v>438</v>
      </c>
      <c r="D115" s="156" t="s">
        <v>282</v>
      </c>
      <c r="E115" s="156" t="s">
        <v>277</v>
      </c>
      <c r="F115" s="156" t="s">
        <v>962</v>
      </c>
      <c r="G115" s="156" t="s">
        <v>826</v>
      </c>
      <c r="H115" s="156" t="s">
        <v>81</v>
      </c>
      <c r="I115" s="156" t="s">
        <v>337</v>
      </c>
      <c r="J115" s="156" t="s">
        <v>110</v>
      </c>
      <c r="K115" s="157">
        <v>2</v>
      </c>
      <c r="L115" s="156" t="s">
        <v>1000</v>
      </c>
      <c r="M115" s="156" t="s">
        <v>826</v>
      </c>
      <c r="N115" s="156" t="s">
        <v>1006</v>
      </c>
      <c r="O115" s="156" t="s">
        <v>999</v>
      </c>
      <c r="P115" s="156" t="s">
        <v>1006</v>
      </c>
      <c r="Q115" s="156"/>
      <c r="R115" s="158" t="s">
        <v>295</v>
      </c>
      <c r="S115" s="156"/>
      <c r="T115" s="155" t="s">
        <v>261</v>
      </c>
    </row>
    <row r="116" spans="1:20" ht="42" customHeight="1" x14ac:dyDescent="0.5">
      <c r="A116" s="160" t="s">
        <v>357</v>
      </c>
      <c r="B116" s="160"/>
      <c r="C116" s="159" t="s">
        <v>1008</v>
      </c>
      <c r="D116" s="160" t="s">
        <v>282</v>
      </c>
      <c r="E116" s="160" t="s">
        <v>820</v>
      </c>
      <c r="F116" s="160" t="s">
        <v>1009</v>
      </c>
      <c r="G116" s="160" t="s">
        <v>891</v>
      </c>
      <c r="H116" s="160" t="s">
        <v>81</v>
      </c>
      <c r="I116" s="160" t="s">
        <v>244</v>
      </c>
      <c r="J116" s="160" t="s">
        <v>110</v>
      </c>
      <c r="K116" s="161">
        <v>100</v>
      </c>
      <c r="L116" s="160"/>
      <c r="M116" s="160"/>
      <c r="N116" s="160"/>
      <c r="O116" s="160"/>
      <c r="P116" s="160"/>
      <c r="Q116" s="160"/>
      <c r="R116" s="162"/>
      <c r="S116" s="160"/>
      <c r="T116" s="159" t="s">
        <v>261</v>
      </c>
    </row>
    <row r="117" spans="1:20" ht="52.5" customHeight="1" x14ac:dyDescent="0.5">
      <c r="A117" s="156" t="s">
        <v>87</v>
      </c>
      <c r="B117" s="156"/>
      <c r="C117" s="155" t="s">
        <v>441</v>
      </c>
      <c r="D117" s="156" t="s">
        <v>288</v>
      </c>
      <c r="E117" s="156" t="s">
        <v>277</v>
      </c>
      <c r="F117" s="156" t="s">
        <v>1010</v>
      </c>
      <c r="G117" s="156" t="s">
        <v>826</v>
      </c>
      <c r="H117" s="156" t="s">
        <v>81</v>
      </c>
      <c r="I117" s="156" t="s">
        <v>440</v>
      </c>
      <c r="J117" s="156" t="s">
        <v>110</v>
      </c>
      <c r="K117" s="157">
        <v>4</v>
      </c>
      <c r="L117" s="156" t="s">
        <v>906</v>
      </c>
      <c r="M117" s="156" t="s">
        <v>826</v>
      </c>
      <c r="N117" s="156" t="s">
        <v>1006</v>
      </c>
      <c r="O117" s="156" t="s">
        <v>1006</v>
      </c>
      <c r="P117" s="156" t="s">
        <v>1006</v>
      </c>
      <c r="Q117" s="156"/>
      <c r="R117" s="158" t="s">
        <v>278</v>
      </c>
      <c r="S117" s="156" t="s">
        <v>840</v>
      </c>
      <c r="T117" s="155" t="s">
        <v>261</v>
      </c>
    </row>
    <row r="118" spans="1:20" ht="31.5" customHeight="1" x14ac:dyDescent="0.5">
      <c r="A118" s="160" t="s">
        <v>87</v>
      </c>
      <c r="B118" s="160"/>
      <c r="C118" s="159" t="s">
        <v>1011</v>
      </c>
      <c r="D118" s="160" t="s">
        <v>288</v>
      </c>
      <c r="E118" s="160" t="s">
        <v>820</v>
      </c>
      <c r="F118" s="160" t="s">
        <v>1010</v>
      </c>
      <c r="G118" s="160" t="s">
        <v>826</v>
      </c>
      <c r="H118" s="160" t="s">
        <v>81</v>
      </c>
      <c r="I118" s="160" t="s">
        <v>485</v>
      </c>
      <c r="J118" s="160" t="s">
        <v>110</v>
      </c>
      <c r="K118" s="161">
        <v>4</v>
      </c>
      <c r="L118" s="160"/>
      <c r="M118" s="160"/>
      <c r="N118" s="160"/>
      <c r="O118" s="160"/>
      <c r="P118" s="160"/>
      <c r="Q118" s="160"/>
      <c r="R118" s="162"/>
      <c r="S118" s="160" t="s">
        <v>820</v>
      </c>
      <c r="T118" s="159" t="s">
        <v>261</v>
      </c>
    </row>
    <row r="119" spans="1:20" ht="31.5" customHeight="1" x14ac:dyDescent="0.5">
      <c r="A119" s="156" t="s">
        <v>87</v>
      </c>
      <c r="B119" s="156"/>
      <c r="C119" s="155" t="s">
        <v>442</v>
      </c>
      <c r="D119" s="156" t="s">
        <v>282</v>
      </c>
      <c r="E119" s="156" t="s">
        <v>277</v>
      </c>
      <c r="F119" s="156" t="s">
        <v>1010</v>
      </c>
      <c r="G119" s="156" t="s">
        <v>815</v>
      </c>
      <c r="H119" s="156" t="s">
        <v>81</v>
      </c>
      <c r="I119" s="156" t="s">
        <v>284</v>
      </c>
      <c r="J119" s="156" t="s">
        <v>1005</v>
      </c>
      <c r="K119" s="157">
        <v>4</v>
      </c>
      <c r="L119" s="156" t="s">
        <v>847</v>
      </c>
      <c r="M119" s="156" t="s">
        <v>826</v>
      </c>
      <c r="N119" s="156" t="s">
        <v>1010</v>
      </c>
      <c r="O119" s="156" t="s">
        <v>1001</v>
      </c>
      <c r="P119" s="156" t="s">
        <v>941</v>
      </c>
      <c r="Q119" s="156"/>
      <c r="R119" s="158" t="s">
        <v>93</v>
      </c>
      <c r="S119" s="156"/>
      <c r="T119" s="155" t="s">
        <v>261</v>
      </c>
    </row>
    <row r="120" spans="1:20" ht="31.5" customHeight="1" x14ac:dyDescent="0.5">
      <c r="A120" s="160" t="s">
        <v>87</v>
      </c>
      <c r="B120" s="160"/>
      <c r="C120" s="159" t="s">
        <v>1012</v>
      </c>
      <c r="D120" s="160" t="s">
        <v>282</v>
      </c>
      <c r="E120" s="160" t="s">
        <v>820</v>
      </c>
      <c r="F120" s="160" t="s">
        <v>1013</v>
      </c>
      <c r="G120" s="160" t="s">
        <v>831</v>
      </c>
      <c r="H120" s="160" t="s">
        <v>81</v>
      </c>
      <c r="I120" s="160" t="s">
        <v>317</v>
      </c>
      <c r="J120" s="160" t="s">
        <v>810</v>
      </c>
      <c r="K120" s="161">
        <v>4</v>
      </c>
      <c r="L120" s="160"/>
      <c r="M120" s="160"/>
      <c r="N120" s="160"/>
      <c r="O120" s="160"/>
      <c r="P120" s="160"/>
      <c r="Q120" s="160"/>
      <c r="R120" s="162"/>
      <c r="S120" s="160"/>
      <c r="T120" s="159" t="s">
        <v>261</v>
      </c>
    </row>
    <row r="121" spans="1:20" ht="63" customHeight="1" x14ac:dyDescent="0.5">
      <c r="A121" s="156" t="s">
        <v>357</v>
      </c>
      <c r="B121" s="156"/>
      <c r="C121" s="155" t="s">
        <v>1014</v>
      </c>
      <c r="D121" s="156" t="s">
        <v>282</v>
      </c>
      <c r="E121" s="156" t="s">
        <v>820</v>
      </c>
      <c r="F121" s="156" t="s">
        <v>1013</v>
      </c>
      <c r="G121" s="156" t="s">
        <v>909</v>
      </c>
      <c r="H121" s="156" t="s">
        <v>81</v>
      </c>
      <c r="I121" s="156" t="s">
        <v>417</v>
      </c>
      <c r="J121" s="156" t="s">
        <v>825</v>
      </c>
      <c r="K121" s="157">
        <v>2</v>
      </c>
      <c r="L121" s="156"/>
      <c r="M121" s="156"/>
      <c r="N121" s="156"/>
      <c r="O121" s="156"/>
      <c r="P121" s="156"/>
      <c r="Q121" s="156"/>
      <c r="R121" s="158"/>
      <c r="S121" s="156" t="s">
        <v>840</v>
      </c>
      <c r="T121" s="155" t="s">
        <v>261</v>
      </c>
    </row>
    <row r="122" spans="1:20" ht="63" customHeight="1" x14ac:dyDescent="0.5">
      <c r="A122" s="160" t="s">
        <v>357</v>
      </c>
      <c r="B122" s="160"/>
      <c r="C122" s="159" t="s">
        <v>1015</v>
      </c>
      <c r="D122" s="160" t="s">
        <v>282</v>
      </c>
      <c r="E122" s="160" t="s">
        <v>820</v>
      </c>
      <c r="F122" s="160" t="s">
        <v>1013</v>
      </c>
      <c r="G122" s="160" t="s">
        <v>909</v>
      </c>
      <c r="H122" s="160" t="s">
        <v>81</v>
      </c>
      <c r="I122" s="160" t="s">
        <v>417</v>
      </c>
      <c r="J122" s="160" t="s">
        <v>825</v>
      </c>
      <c r="K122" s="161">
        <v>2</v>
      </c>
      <c r="L122" s="160"/>
      <c r="M122" s="160"/>
      <c r="N122" s="160"/>
      <c r="O122" s="160"/>
      <c r="P122" s="160"/>
      <c r="Q122" s="160"/>
      <c r="R122" s="162"/>
      <c r="S122" s="160" t="s">
        <v>840</v>
      </c>
      <c r="T122" s="159" t="s">
        <v>261</v>
      </c>
    </row>
    <row r="123" spans="1:20" ht="52.5" customHeight="1" x14ac:dyDescent="0.5">
      <c r="A123" s="156" t="s">
        <v>357</v>
      </c>
      <c r="B123" s="156"/>
      <c r="C123" s="155" t="s">
        <v>1016</v>
      </c>
      <c r="D123" s="156" t="s">
        <v>282</v>
      </c>
      <c r="E123" s="156" t="s">
        <v>820</v>
      </c>
      <c r="F123" s="156" t="s">
        <v>1013</v>
      </c>
      <c r="G123" s="156" t="s">
        <v>909</v>
      </c>
      <c r="H123" s="156" t="s">
        <v>81</v>
      </c>
      <c r="I123" s="156" t="s">
        <v>419</v>
      </c>
      <c r="J123" s="156" t="s">
        <v>825</v>
      </c>
      <c r="K123" s="157">
        <v>2</v>
      </c>
      <c r="L123" s="156"/>
      <c r="M123" s="156"/>
      <c r="N123" s="156"/>
      <c r="O123" s="156"/>
      <c r="P123" s="156"/>
      <c r="Q123" s="156"/>
      <c r="R123" s="158"/>
      <c r="S123" s="156" t="s">
        <v>840</v>
      </c>
      <c r="T123" s="155" t="s">
        <v>261</v>
      </c>
    </row>
    <row r="124" spans="1:20" ht="31.5" customHeight="1" x14ac:dyDescent="0.5">
      <c r="A124" s="160" t="s">
        <v>357</v>
      </c>
      <c r="B124" s="160"/>
      <c r="C124" s="159" t="s">
        <v>444</v>
      </c>
      <c r="D124" s="160" t="s">
        <v>282</v>
      </c>
      <c r="E124" s="160" t="s">
        <v>277</v>
      </c>
      <c r="F124" s="160" t="s">
        <v>1013</v>
      </c>
      <c r="G124" s="160" t="s">
        <v>909</v>
      </c>
      <c r="H124" s="160" t="s">
        <v>81</v>
      </c>
      <c r="I124" s="160" t="s">
        <v>289</v>
      </c>
      <c r="J124" s="160" t="s">
        <v>825</v>
      </c>
      <c r="K124" s="161">
        <v>16</v>
      </c>
      <c r="L124" s="160" t="s">
        <v>847</v>
      </c>
      <c r="M124" s="160" t="s">
        <v>909</v>
      </c>
      <c r="N124" s="160" t="s">
        <v>1017</v>
      </c>
      <c r="O124" s="160" t="s">
        <v>1018</v>
      </c>
      <c r="P124" s="160" t="s">
        <v>965</v>
      </c>
      <c r="Q124" s="160">
        <v>2.64</v>
      </c>
      <c r="R124" s="162"/>
      <c r="S124" s="160"/>
      <c r="T124" s="159" t="s">
        <v>261</v>
      </c>
    </row>
    <row r="125" spans="1:20" ht="31.5" customHeight="1" x14ac:dyDescent="0.5">
      <c r="A125" s="156" t="s">
        <v>87</v>
      </c>
      <c r="B125" s="156"/>
      <c r="C125" s="155" t="s">
        <v>446</v>
      </c>
      <c r="D125" s="156" t="s">
        <v>282</v>
      </c>
      <c r="E125" s="156" t="s">
        <v>277</v>
      </c>
      <c r="F125" s="156" t="s">
        <v>1019</v>
      </c>
      <c r="G125" s="156" t="s">
        <v>826</v>
      </c>
      <c r="H125" s="156" t="s">
        <v>81</v>
      </c>
      <c r="I125" s="156" t="s">
        <v>337</v>
      </c>
      <c r="J125" s="156" t="s">
        <v>110</v>
      </c>
      <c r="K125" s="157">
        <v>2</v>
      </c>
      <c r="L125" s="156" t="s">
        <v>1020</v>
      </c>
      <c r="M125" s="156" t="s">
        <v>826</v>
      </c>
      <c r="N125" s="156" t="s">
        <v>1013</v>
      </c>
      <c r="O125" s="156" t="s">
        <v>1021</v>
      </c>
      <c r="P125" s="156" t="s">
        <v>1006</v>
      </c>
      <c r="Q125" s="156"/>
      <c r="R125" s="158" t="s">
        <v>295</v>
      </c>
      <c r="S125" s="156"/>
      <c r="T125" s="155" t="s">
        <v>261</v>
      </c>
    </row>
    <row r="126" spans="1:20" ht="42" customHeight="1" x14ac:dyDescent="0.5">
      <c r="A126" s="160" t="s">
        <v>357</v>
      </c>
      <c r="B126" s="160"/>
      <c r="C126" s="159" t="s">
        <v>447</v>
      </c>
      <c r="D126" s="160" t="s">
        <v>282</v>
      </c>
      <c r="E126" s="160" t="s">
        <v>277</v>
      </c>
      <c r="F126" s="160" t="s">
        <v>1022</v>
      </c>
      <c r="G126" s="160" t="s">
        <v>891</v>
      </c>
      <c r="H126" s="160" t="s">
        <v>81</v>
      </c>
      <c r="I126" s="160" t="s">
        <v>244</v>
      </c>
      <c r="J126" s="160" t="s">
        <v>110</v>
      </c>
      <c r="K126" s="161">
        <v>24</v>
      </c>
      <c r="L126" s="160" t="s">
        <v>1023</v>
      </c>
      <c r="M126" s="160" t="s">
        <v>826</v>
      </c>
      <c r="N126" s="160" t="s">
        <v>995</v>
      </c>
      <c r="O126" s="160" t="s">
        <v>1013</v>
      </c>
      <c r="P126" s="160" t="s">
        <v>995</v>
      </c>
      <c r="Q126" s="160"/>
      <c r="R126" s="162" t="s">
        <v>93</v>
      </c>
      <c r="S126" s="160"/>
      <c r="T126" s="159" t="s">
        <v>261</v>
      </c>
    </row>
    <row r="127" spans="1:20" ht="31.5" customHeight="1" x14ac:dyDescent="0.5">
      <c r="A127" s="156" t="s">
        <v>359</v>
      </c>
      <c r="B127" s="156"/>
      <c r="C127" s="155" t="s">
        <v>450</v>
      </c>
      <c r="D127" s="156" t="s">
        <v>288</v>
      </c>
      <c r="E127" s="156" t="s">
        <v>277</v>
      </c>
      <c r="F127" s="156" t="s">
        <v>1024</v>
      </c>
      <c r="G127" s="156" t="s">
        <v>938</v>
      </c>
      <c r="H127" s="156" t="s">
        <v>81</v>
      </c>
      <c r="I127" s="156" t="s">
        <v>248</v>
      </c>
      <c r="J127" s="156" t="s">
        <v>110</v>
      </c>
      <c r="K127" s="157">
        <v>5</v>
      </c>
      <c r="L127" s="156" t="s">
        <v>919</v>
      </c>
      <c r="M127" s="156" t="s">
        <v>826</v>
      </c>
      <c r="N127" s="156" t="s">
        <v>1009</v>
      </c>
      <c r="O127" s="156" t="s">
        <v>962</v>
      </c>
      <c r="P127" s="156" t="s">
        <v>1004</v>
      </c>
      <c r="Q127" s="156"/>
      <c r="R127" s="158" t="s">
        <v>295</v>
      </c>
      <c r="S127" s="156"/>
      <c r="T127" s="155" t="s">
        <v>261</v>
      </c>
    </row>
    <row r="128" spans="1:20" ht="42" customHeight="1" x14ac:dyDescent="0.5">
      <c r="A128" s="160" t="s">
        <v>359</v>
      </c>
      <c r="B128" s="160"/>
      <c r="C128" s="159" t="s">
        <v>452</v>
      </c>
      <c r="D128" s="160" t="s">
        <v>288</v>
      </c>
      <c r="E128" s="160" t="s">
        <v>277</v>
      </c>
      <c r="F128" s="160" t="s">
        <v>1024</v>
      </c>
      <c r="G128" s="160" t="s">
        <v>938</v>
      </c>
      <c r="H128" s="160" t="s">
        <v>81</v>
      </c>
      <c r="I128" s="160" t="s">
        <v>352</v>
      </c>
      <c r="J128" s="160" t="s">
        <v>110</v>
      </c>
      <c r="K128" s="161">
        <v>5</v>
      </c>
      <c r="L128" s="160" t="s">
        <v>919</v>
      </c>
      <c r="M128" s="160" t="s">
        <v>826</v>
      </c>
      <c r="N128" s="160" t="s">
        <v>1021</v>
      </c>
      <c r="O128" s="160" t="s">
        <v>1021</v>
      </c>
      <c r="P128" s="160" t="s">
        <v>1004</v>
      </c>
      <c r="Q128" s="160"/>
      <c r="R128" s="162" t="s">
        <v>295</v>
      </c>
      <c r="S128" s="160"/>
      <c r="T128" s="159" t="s">
        <v>261</v>
      </c>
    </row>
    <row r="129" spans="1:20" ht="31.5" customHeight="1" x14ac:dyDescent="0.5">
      <c r="A129" s="156" t="s">
        <v>453</v>
      </c>
      <c r="B129" s="156"/>
      <c r="C129" s="155" t="s">
        <v>454</v>
      </c>
      <c r="D129" s="156" t="s">
        <v>282</v>
      </c>
      <c r="E129" s="156" t="s">
        <v>277</v>
      </c>
      <c r="F129" s="156" t="s">
        <v>1025</v>
      </c>
      <c r="G129" s="156" t="s">
        <v>831</v>
      </c>
      <c r="H129" s="156" t="s">
        <v>81</v>
      </c>
      <c r="I129" s="156" t="s">
        <v>317</v>
      </c>
      <c r="J129" s="156" t="s">
        <v>810</v>
      </c>
      <c r="K129" s="157">
        <v>1</v>
      </c>
      <c r="L129" s="156" t="s">
        <v>886</v>
      </c>
      <c r="M129" s="156" t="s">
        <v>834</v>
      </c>
      <c r="N129" s="156" t="s">
        <v>888</v>
      </c>
      <c r="O129" s="156" t="s">
        <v>1022</v>
      </c>
      <c r="P129" s="156" t="s">
        <v>888</v>
      </c>
      <c r="Q129" s="156"/>
      <c r="R129" s="158"/>
      <c r="S129" s="156"/>
      <c r="T129" s="155" t="s">
        <v>261</v>
      </c>
    </row>
    <row r="130" spans="1:20" ht="31.5" customHeight="1" x14ac:dyDescent="0.5">
      <c r="A130" s="160" t="s">
        <v>87</v>
      </c>
      <c r="B130" s="160"/>
      <c r="C130" s="159" t="s">
        <v>1026</v>
      </c>
      <c r="D130" s="160" t="s">
        <v>288</v>
      </c>
      <c r="E130" s="160" t="s">
        <v>820</v>
      </c>
      <c r="F130" s="160" t="s">
        <v>1025</v>
      </c>
      <c r="G130" s="160" t="s">
        <v>831</v>
      </c>
      <c r="H130" s="160" t="s">
        <v>81</v>
      </c>
      <c r="I130" s="160" t="s">
        <v>681</v>
      </c>
      <c r="J130" s="160" t="s">
        <v>859</v>
      </c>
      <c r="K130" s="161">
        <v>1</v>
      </c>
      <c r="L130" s="160"/>
      <c r="M130" s="160"/>
      <c r="N130" s="160"/>
      <c r="O130" s="160"/>
      <c r="P130" s="160"/>
      <c r="Q130" s="160"/>
      <c r="R130" s="162"/>
      <c r="S130" s="160"/>
      <c r="T130" s="159" t="s">
        <v>261</v>
      </c>
    </row>
    <row r="131" spans="1:20" ht="31.5" customHeight="1" x14ac:dyDescent="0.5">
      <c r="A131" s="156" t="s">
        <v>87</v>
      </c>
      <c r="B131" s="156"/>
      <c r="C131" s="155" t="s">
        <v>456</v>
      </c>
      <c r="D131" s="156" t="s">
        <v>288</v>
      </c>
      <c r="E131" s="156" t="s">
        <v>277</v>
      </c>
      <c r="F131" s="156" t="s">
        <v>1027</v>
      </c>
      <c r="G131" s="156" t="s">
        <v>826</v>
      </c>
      <c r="H131" s="156" t="s">
        <v>81</v>
      </c>
      <c r="I131" s="156" t="s">
        <v>455</v>
      </c>
      <c r="J131" s="156" t="s">
        <v>1005</v>
      </c>
      <c r="K131" s="157">
        <v>4</v>
      </c>
      <c r="L131" s="156" t="s">
        <v>992</v>
      </c>
      <c r="M131" s="156" t="s">
        <v>826</v>
      </c>
      <c r="N131" s="156" t="s">
        <v>1028</v>
      </c>
      <c r="O131" s="156" t="s">
        <v>1024</v>
      </c>
      <c r="P131" s="156" t="s">
        <v>1006</v>
      </c>
      <c r="Q131" s="156"/>
      <c r="R131" s="158" t="s">
        <v>278</v>
      </c>
      <c r="S131" s="156" t="s">
        <v>840</v>
      </c>
      <c r="T131" s="155" t="s">
        <v>261</v>
      </c>
    </row>
    <row r="132" spans="1:20" ht="63" customHeight="1" x14ac:dyDescent="0.5">
      <c r="A132" s="160" t="s">
        <v>87</v>
      </c>
      <c r="B132" s="160"/>
      <c r="C132" s="159" t="s">
        <v>458</v>
      </c>
      <c r="D132" s="160" t="s">
        <v>288</v>
      </c>
      <c r="E132" s="160" t="s">
        <v>277</v>
      </c>
      <c r="F132" s="160" t="s">
        <v>1027</v>
      </c>
      <c r="G132" s="160" t="s">
        <v>826</v>
      </c>
      <c r="H132" s="160" t="s">
        <v>81</v>
      </c>
      <c r="I132" s="160" t="s">
        <v>457</v>
      </c>
      <c r="J132" s="160" t="s">
        <v>1005</v>
      </c>
      <c r="K132" s="161">
        <v>2</v>
      </c>
      <c r="L132" s="160" t="s">
        <v>933</v>
      </c>
      <c r="M132" s="160" t="s">
        <v>826</v>
      </c>
      <c r="N132" s="160" t="s">
        <v>1022</v>
      </c>
      <c r="O132" s="160" t="s">
        <v>1024</v>
      </c>
      <c r="P132" s="160" t="s">
        <v>1022</v>
      </c>
      <c r="Q132" s="160"/>
      <c r="R132" s="162" t="s">
        <v>295</v>
      </c>
      <c r="S132" s="160" t="s">
        <v>840</v>
      </c>
      <c r="T132" s="159" t="s">
        <v>261</v>
      </c>
    </row>
    <row r="133" spans="1:20" ht="42" customHeight="1" x14ac:dyDescent="0.5">
      <c r="A133" s="156" t="s">
        <v>87</v>
      </c>
      <c r="B133" s="156"/>
      <c r="C133" s="155" t="s">
        <v>461</v>
      </c>
      <c r="D133" s="156" t="s">
        <v>288</v>
      </c>
      <c r="E133" s="156" t="s">
        <v>277</v>
      </c>
      <c r="F133" s="156" t="s">
        <v>1027</v>
      </c>
      <c r="G133" s="156" t="s">
        <v>826</v>
      </c>
      <c r="H133" s="156" t="s">
        <v>81</v>
      </c>
      <c r="I133" s="156" t="s">
        <v>460</v>
      </c>
      <c r="J133" s="156" t="s">
        <v>1005</v>
      </c>
      <c r="K133" s="157">
        <v>2</v>
      </c>
      <c r="L133" s="156" t="s">
        <v>916</v>
      </c>
      <c r="M133" s="156" t="s">
        <v>826</v>
      </c>
      <c r="N133" s="156" t="s">
        <v>1024</v>
      </c>
      <c r="O133" s="156" t="s">
        <v>1024</v>
      </c>
      <c r="P133" s="156" t="s">
        <v>1024</v>
      </c>
      <c r="Q133" s="156"/>
      <c r="R133" s="158" t="s">
        <v>93</v>
      </c>
      <c r="S133" s="156" t="s">
        <v>840</v>
      </c>
      <c r="T133" s="155" t="s">
        <v>261</v>
      </c>
    </row>
    <row r="134" spans="1:20" ht="31.5" customHeight="1" x14ac:dyDescent="0.5">
      <c r="A134" s="160" t="s">
        <v>87</v>
      </c>
      <c r="B134" s="160"/>
      <c r="C134" s="159" t="s">
        <v>464</v>
      </c>
      <c r="D134" s="160" t="s">
        <v>282</v>
      </c>
      <c r="E134" s="160" t="s">
        <v>277</v>
      </c>
      <c r="F134" s="160" t="s">
        <v>1029</v>
      </c>
      <c r="G134" s="160" t="s">
        <v>826</v>
      </c>
      <c r="H134" s="160" t="s">
        <v>81</v>
      </c>
      <c r="I134" s="160" t="s">
        <v>463</v>
      </c>
      <c r="J134" s="160" t="s">
        <v>110</v>
      </c>
      <c r="K134" s="161">
        <v>10</v>
      </c>
      <c r="L134" s="160" t="s">
        <v>916</v>
      </c>
      <c r="M134" s="160" t="s">
        <v>826</v>
      </c>
      <c r="N134" s="160" t="s">
        <v>1024</v>
      </c>
      <c r="O134" s="160" t="s">
        <v>1024</v>
      </c>
      <c r="P134" s="160" t="s">
        <v>1006</v>
      </c>
      <c r="Q134" s="160"/>
      <c r="R134" s="162" t="s">
        <v>295</v>
      </c>
      <c r="S134" s="160"/>
      <c r="T134" s="159" t="s">
        <v>261</v>
      </c>
    </row>
    <row r="135" spans="1:20" ht="63" customHeight="1" x14ac:dyDescent="0.5">
      <c r="A135" s="156" t="s">
        <v>87</v>
      </c>
      <c r="B135" s="156"/>
      <c r="C135" s="155" t="s">
        <v>465</v>
      </c>
      <c r="D135" s="156" t="s">
        <v>282</v>
      </c>
      <c r="E135" s="156" t="s">
        <v>277</v>
      </c>
      <c r="F135" s="156" t="s">
        <v>1030</v>
      </c>
      <c r="G135" s="156" t="s">
        <v>826</v>
      </c>
      <c r="H135" s="156" t="s">
        <v>81</v>
      </c>
      <c r="I135" s="156" t="s">
        <v>329</v>
      </c>
      <c r="J135" s="156" t="s">
        <v>110</v>
      </c>
      <c r="K135" s="157">
        <v>4</v>
      </c>
      <c r="L135" s="156" t="s">
        <v>816</v>
      </c>
      <c r="M135" s="156" t="s">
        <v>826</v>
      </c>
      <c r="N135" s="156" t="s">
        <v>995</v>
      </c>
      <c r="O135" s="156" t="s">
        <v>1027</v>
      </c>
      <c r="P135" s="156" t="s">
        <v>995</v>
      </c>
      <c r="Q135" s="156"/>
      <c r="R135" s="158" t="s">
        <v>93</v>
      </c>
      <c r="S135" s="156"/>
      <c r="T135" s="155" t="s">
        <v>261</v>
      </c>
    </row>
    <row r="136" spans="1:20" ht="31.5" customHeight="1" x14ac:dyDescent="0.5">
      <c r="A136" s="160" t="s">
        <v>87</v>
      </c>
      <c r="B136" s="160"/>
      <c r="C136" s="159" t="s">
        <v>467</v>
      </c>
      <c r="D136" s="160" t="s">
        <v>282</v>
      </c>
      <c r="E136" s="160" t="s">
        <v>277</v>
      </c>
      <c r="F136" s="160" t="s">
        <v>1030</v>
      </c>
      <c r="G136" s="160" t="s">
        <v>826</v>
      </c>
      <c r="H136" s="160" t="s">
        <v>81</v>
      </c>
      <c r="I136" s="160" t="s">
        <v>337</v>
      </c>
      <c r="J136" s="160" t="s">
        <v>110</v>
      </c>
      <c r="K136" s="161">
        <v>2</v>
      </c>
      <c r="L136" s="160" t="s">
        <v>847</v>
      </c>
      <c r="M136" s="160" t="s">
        <v>826</v>
      </c>
      <c r="N136" s="160" t="s">
        <v>1025</v>
      </c>
      <c r="O136" s="160" t="s">
        <v>1022</v>
      </c>
      <c r="P136" s="160" t="s">
        <v>1006</v>
      </c>
      <c r="Q136" s="160"/>
      <c r="R136" s="162" t="s">
        <v>295</v>
      </c>
      <c r="S136" s="160"/>
      <c r="T136" s="159" t="s">
        <v>261</v>
      </c>
    </row>
    <row r="137" spans="1:20" ht="42" customHeight="1" x14ac:dyDescent="0.5">
      <c r="A137" s="156" t="s">
        <v>87</v>
      </c>
      <c r="B137" s="156"/>
      <c r="C137" s="155" t="s">
        <v>469</v>
      </c>
      <c r="D137" s="156" t="s">
        <v>282</v>
      </c>
      <c r="E137" s="156" t="s">
        <v>277</v>
      </c>
      <c r="F137" s="156" t="s">
        <v>1030</v>
      </c>
      <c r="G137" s="156" t="s">
        <v>826</v>
      </c>
      <c r="H137" s="156" t="s">
        <v>81</v>
      </c>
      <c r="I137" s="156" t="s">
        <v>468</v>
      </c>
      <c r="J137" s="156" t="s">
        <v>110</v>
      </c>
      <c r="K137" s="157">
        <v>4</v>
      </c>
      <c r="L137" s="156" t="s">
        <v>816</v>
      </c>
      <c r="M137" s="156" t="s">
        <v>826</v>
      </c>
      <c r="N137" s="156" t="s">
        <v>995</v>
      </c>
      <c r="O137" s="156" t="s">
        <v>1028</v>
      </c>
      <c r="P137" s="156" t="s">
        <v>995</v>
      </c>
      <c r="Q137" s="156"/>
      <c r="R137" s="158" t="s">
        <v>295</v>
      </c>
      <c r="S137" s="156"/>
      <c r="T137" s="155" t="s">
        <v>261</v>
      </c>
    </row>
    <row r="138" spans="1:20" ht="52.5" customHeight="1" x14ac:dyDescent="0.5">
      <c r="A138" s="160" t="s">
        <v>87</v>
      </c>
      <c r="B138" s="160"/>
      <c r="C138" s="159" t="s">
        <v>472</v>
      </c>
      <c r="D138" s="160" t="s">
        <v>282</v>
      </c>
      <c r="E138" s="160" t="s">
        <v>277</v>
      </c>
      <c r="F138" s="160" t="s">
        <v>1031</v>
      </c>
      <c r="G138" s="160" t="s">
        <v>826</v>
      </c>
      <c r="H138" s="160" t="s">
        <v>81</v>
      </c>
      <c r="I138" s="160" t="s">
        <v>471</v>
      </c>
      <c r="J138" s="160" t="s">
        <v>110</v>
      </c>
      <c r="K138" s="161">
        <v>2</v>
      </c>
      <c r="L138" s="160" t="s">
        <v>916</v>
      </c>
      <c r="M138" s="160"/>
      <c r="N138" s="160" t="s">
        <v>1032</v>
      </c>
      <c r="O138" s="160" t="s">
        <v>1033</v>
      </c>
      <c r="P138" s="160" t="s">
        <v>1006</v>
      </c>
      <c r="Q138" s="160"/>
      <c r="R138" s="162" t="s">
        <v>278</v>
      </c>
      <c r="S138" s="160"/>
      <c r="T138" s="159" t="s">
        <v>261</v>
      </c>
    </row>
    <row r="139" spans="1:20" ht="31.5" customHeight="1" x14ac:dyDescent="0.5">
      <c r="A139" s="156" t="s">
        <v>87</v>
      </c>
      <c r="B139" s="156"/>
      <c r="C139" s="155" t="s">
        <v>474</v>
      </c>
      <c r="D139" s="156" t="s">
        <v>282</v>
      </c>
      <c r="E139" s="156" t="s">
        <v>277</v>
      </c>
      <c r="F139" s="156" t="s">
        <v>1034</v>
      </c>
      <c r="G139" s="156" t="s">
        <v>826</v>
      </c>
      <c r="H139" s="156" t="s">
        <v>81</v>
      </c>
      <c r="I139" s="156" t="s">
        <v>26</v>
      </c>
      <c r="J139" s="156" t="s">
        <v>1005</v>
      </c>
      <c r="K139" s="157">
        <v>16</v>
      </c>
      <c r="L139" s="156" t="s">
        <v>847</v>
      </c>
      <c r="M139" s="156" t="s">
        <v>826</v>
      </c>
      <c r="N139" s="156" t="s">
        <v>1032</v>
      </c>
      <c r="O139" s="156" t="s">
        <v>1027</v>
      </c>
      <c r="P139" s="156" t="s">
        <v>1024</v>
      </c>
      <c r="Q139" s="156">
        <v>2.64</v>
      </c>
      <c r="R139" s="158"/>
      <c r="S139" s="156"/>
      <c r="T139" s="155" t="s">
        <v>261</v>
      </c>
    </row>
    <row r="140" spans="1:20" ht="31.5" customHeight="1" x14ac:dyDescent="0.5">
      <c r="A140" s="160" t="s">
        <v>87</v>
      </c>
      <c r="B140" s="160"/>
      <c r="C140" s="159" t="s">
        <v>476</v>
      </c>
      <c r="D140" s="160" t="s">
        <v>282</v>
      </c>
      <c r="E140" s="160" t="s">
        <v>277</v>
      </c>
      <c r="F140" s="160" t="s">
        <v>1035</v>
      </c>
      <c r="G140" s="160" t="s">
        <v>826</v>
      </c>
      <c r="H140" s="160" t="s">
        <v>81</v>
      </c>
      <c r="I140" s="160" t="s">
        <v>475</v>
      </c>
      <c r="J140" s="160" t="s">
        <v>110</v>
      </c>
      <c r="K140" s="161">
        <v>2</v>
      </c>
      <c r="L140" s="160" t="s">
        <v>911</v>
      </c>
      <c r="M140" s="160" t="s">
        <v>826</v>
      </c>
      <c r="N140" s="160" t="s">
        <v>1036</v>
      </c>
      <c r="O140" s="160" t="s">
        <v>1027</v>
      </c>
      <c r="P140" s="160" t="s">
        <v>1006</v>
      </c>
      <c r="Q140" s="160"/>
      <c r="R140" s="162" t="s">
        <v>295</v>
      </c>
      <c r="S140" s="160" t="s">
        <v>840</v>
      </c>
      <c r="T140" s="159" t="s">
        <v>261</v>
      </c>
    </row>
    <row r="141" spans="1:20" ht="42" customHeight="1" x14ac:dyDescent="0.5">
      <c r="A141" s="156" t="s">
        <v>87</v>
      </c>
      <c r="B141" s="156"/>
      <c r="C141" s="155" t="s">
        <v>478</v>
      </c>
      <c r="D141" s="156" t="s">
        <v>282</v>
      </c>
      <c r="E141" s="156" t="s">
        <v>277</v>
      </c>
      <c r="F141" s="156" t="s">
        <v>1037</v>
      </c>
      <c r="G141" s="156" t="s">
        <v>826</v>
      </c>
      <c r="H141" s="156" t="s">
        <v>81</v>
      </c>
      <c r="I141" s="156" t="s">
        <v>477</v>
      </c>
      <c r="J141" s="156" t="s">
        <v>110</v>
      </c>
      <c r="K141" s="157">
        <v>4</v>
      </c>
      <c r="L141" s="156" t="s">
        <v>1038</v>
      </c>
      <c r="M141" s="156" t="s">
        <v>826</v>
      </c>
      <c r="N141" s="156" t="s">
        <v>1034</v>
      </c>
      <c r="O141" s="156" t="s">
        <v>1032</v>
      </c>
      <c r="P141" s="156" t="s">
        <v>1024</v>
      </c>
      <c r="Q141" s="156"/>
      <c r="R141" s="158" t="s">
        <v>295</v>
      </c>
      <c r="S141" s="156"/>
      <c r="T141" s="155" t="s">
        <v>261</v>
      </c>
    </row>
    <row r="142" spans="1:20" ht="31.5" customHeight="1" x14ac:dyDescent="0.5">
      <c r="A142" s="160" t="s">
        <v>87</v>
      </c>
      <c r="B142" s="160"/>
      <c r="C142" s="159" t="s">
        <v>479</v>
      </c>
      <c r="D142" s="160" t="s">
        <v>282</v>
      </c>
      <c r="E142" s="160" t="s">
        <v>277</v>
      </c>
      <c r="F142" s="160" t="s">
        <v>1039</v>
      </c>
      <c r="G142" s="160" t="s">
        <v>826</v>
      </c>
      <c r="H142" s="160" t="s">
        <v>81</v>
      </c>
      <c r="I142" s="160" t="s">
        <v>284</v>
      </c>
      <c r="J142" s="160" t="s">
        <v>110</v>
      </c>
      <c r="K142" s="161">
        <v>2</v>
      </c>
      <c r="L142" s="160" t="s">
        <v>847</v>
      </c>
      <c r="M142" s="160" t="s">
        <v>826</v>
      </c>
      <c r="N142" s="160" t="s">
        <v>1036</v>
      </c>
      <c r="O142" s="160" t="s">
        <v>1036</v>
      </c>
      <c r="P142" s="160" t="s">
        <v>1006</v>
      </c>
      <c r="Q142" s="160"/>
      <c r="R142" s="162" t="s">
        <v>278</v>
      </c>
      <c r="S142" s="160"/>
      <c r="T142" s="159" t="s">
        <v>261</v>
      </c>
    </row>
    <row r="143" spans="1:20" ht="31.5" customHeight="1" x14ac:dyDescent="0.5">
      <c r="A143" s="156" t="s">
        <v>87</v>
      </c>
      <c r="B143" s="156"/>
      <c r="C143" s="155" t="s">
        <v>481</v>
      </c>
      <c r="D143" s="156" t="s">
        <v>282</v>
      </c>
      <c r="E143" s="156" t="s">
        <v>277</v>
      </c>
      <c r="F143" s="156" t="s">
        <v>1040</v>
      </c>
      <c r="G143" s="156" t="s">
        <v>826</v>
      </c>
      <c r="H143" s="156" t="s">
        <v>81</v>
      </c>
      <c r="I143" s="156" t="s">
        <v>337</v>
      </c>
      <c r="J143" s="156" t="s">
        <v>110</v>
      </c>
      <c r="K143" s="157">
        <v>2</v>
      </c>
      <c r="L143" s="156" t="s">
        <v>911</v>
      </c>
      <c r="M143" s="156" t="s">
        <v>826</v>
      </c>
      <c r="N143" s="156" t="s">
        <v>1039</v>
      </c>
      <c r="O143" s="156" t="s">
        <v>1035</v>
      </c>
      <c r="P143" s="156" t="s">
        <v>1006</v>
      </c>
      <c r="Q143" s="156"/>
      <c r="R143" s="158" t="s">
        <v>295</v>
      </c>
      <c r="S143" s="156"/>
      <c r="T143" s="155" t="s">
        <v>261</v>
      </c>
    </row>
    <row r="144" spans="1:20" ht="31.5" customHeight="1" x14ac:dyDescent="0.5">
      <c r="A144" s="160" t="s">
        <v>87</v>
      </c>
      <c r="B144" s="160"/>
      <c r="C144" s="159" t="s">
        <v>482</v>
      </c>
      <c r="D144" s="160" t="s">
        <v>288</v>
      </c>
      <c r="E144" s="160" t="s">
        <v>277</v>
      </c>
      <c r="F144" s="160" t="s">
        <v>1040</v>
      </c>
      <c r="G144" s="160" t="s">
        <v>831</v>
      </c>
      <c r="H144" s="160" t="s">
        <v>81</v>
      </c>
      <c r="I144" s="160" t="s">
        <v>317</v>
      </c>
      <c r="J144" s="160" t="s">
        <v>859</v>
      </c>
      <c r="K144" s="161">
        <v>6</v>
      </c>
      <c r="L144" s="160" t="s">
        <v>886</v>
      </c>
      <c r="M144" s="160" t="s">
        <v>834</v>
      </c>
      <c r="N144" s="160" t="s">
        <v>888</v>
      </c>
      <c r="O144" s="160" t="s">
        <v>1041</v>
      </c>
      <c r="P144" s="160" t="s">
        <v>888</v>
      </c>
      <c r="Q144" s="160"/>
      <c r="R144" s="162"/>
      <c r="S144" s="160"/>
      <c r="T144" s="159" t="s">
        <v>261</v>
      </c>
    </row>
    <row r="145" spans="1:20" ht="42" customHeight="1" x14ac:dyDescent="0.5">
      <c r="A145" s="156" t="s">
        <v>453</v>
      </c>
      <c r="B145" s="156"/>
      <c r="C145" s="155" t="s">
        <v>1042</v>
      </c>
      <c r="D145" s="156" t="s">
        <v>282</v>
      </c>
      <c r="E145" s="156" t="s">
        <v>820</v>
      </c>
      <c r="F145" s="156" t="s">
        <v>1043</v>
      </c>
      <c r="G145" s="156" t="s">
        <v>1044</v>
      </c>
      <c r="H145" s="156" t="s">
        <v>81</v>
      </c>
      <c r="I145" s="156" t="s">
        <v>352</v>
      </c>
      <c r="J145" s="156" t="s">
        <v>1045</v>
      </c>
      <c r="K145" s="157">
        <v>42</v>
      </c>
      <c r="L145" s="156"/>
      <c r="M145" s="156"/>
      <c r="N145" s="156"/>
      <c r="O145" s="156"/>
      <c r="P145" s="156"/>
      <c r="Q145" s="156"/>
      <c r="R145" s="158"/>
      <c r="S145" s="156"/>
      <c r="T145" s="155" t="s">
        <v>261</v>
      </c>
    </row>
    <row r="146" spans="1:20" ht="31.5" customHeight="1" x14ac:dyDescent="0.5">
      <c r="A146" s="160" t="s">
        <v>87</v>
      </c>
      <c r="B146" s="160"/>
      <c r="C146" s="159" t="s">
        <v>483</v>
      </c>
      <c r="D146" s="160" t="s">
        <v>282</v>
      </c>
      <c r="E146" s="160" t="s">
        <v>277</v>
      </c>
      <c r="F146" s="160" t="s">
        <v>1046</v>
      </c>
      <c r="G146" s="160" t="s">
        <v>826</v>
      </c>
      <c r="H146" s="160" t="s">
        <v>81</v>
      </c>
      <c r="I146" s="160" t="s">
        <v>297</v>
      </c>
      <c r="J146" s="160" t="s">
        <v>110</v>
      </c>
      <c r="K146" s="161">
        <v>6</v>
      </c>
      <c r="L146" s="160" t="s">
        <v>847</v>
      </c>
      <c r="M146" s="160" t="s">
        <v>826</v>
      </c>
      <c r="N146" s="160" t="s">
        <v>1035</v>
      </c>
      <c r="O146" s="160" t="s">
        <v>1034</v>
      </c>
      <c r="P146" s="160" t="s">
        <v>1031</v>
      </c>
      <c r="Q146" s="160"/>
      <c r="R146" s="162"/>
      <c r="S146" s="160"/>
      <c r="T146" s="159" t="s">
        <v>261</v>
      </c>
    </row>
    <row r="147" spans="1:20" ht="31.5" customHeight="1" x14ac:dyDescent="0.5">
      <c r="A147" s="156" t="s">
        <v>87</v>
      </c>
      <c r="B147" s="156"/>
      <c r="C147" s="155" t="s">
        <v>486</v>
      </c>
      <c r="D147" s="156" t="s">
        <v>288</v>
      </c>
      <c r="E147" s="156" t="s">
        <v>277</v>
      </c>
      <c r="F147" s="156" t="s">
        <v>1046</v>
      </c>
      <c r="G147" s="156" t="s">
        <v>826</v>
      </c>
      <c r="H147" s="156" t="s">
        <v>81</v>
      </c>
      <c r="I147" s="156" t="s">
        <v>485</v>
      </c>
      <c r="J147" s="156" t="s">
        <v>1005</v>
      </c>
      <c r="K147" s="157">
        <v>4</v>
      </c>
      <c r="L147" s="156" t="s">
        <v>847</v>
      </c>
      <c r="M147" s="156" t="s">
        <v>826</v>
      </c>
      <c r="N147" s="156" t="s">
        <v>1036</v>
      </c>
      <c r="O147" s="156" t="s">
        <v>1034</v>
      </c>
      <c r="P147" s="156" t="s">
        <v>1006</v>
      </c>
      <c r="Q147" s="156"/>
      <c r="R147" s="158" t="s">
        <v>278</v>
      </c>
      <c r="S147" s="156" t="s">
        <v>840</v>
      </c>
      <c r="T147" s="155" t="s">
        <v>261</v>
      </c>
    </row>
    <row r="148" spans="1:20" ht="63" customHeight="1" x14ac:dyDescent="0.5">
      <c r="A148" s="160" t="s">
        <v>87</v>
      </c>
      <c r="B148" s="160"/>
      <c r="C148" s="159" t="s">
        <v>489</v>
      </c>
      <c r="D148" s="160" t="s">
        <v>288</v>
      </c>
      <c r="E148" s="160" t="s">
        <v>277</v>
      </c>
      <c r="F148" s="160" t="s">
        <v>1046</v>
      </c>
      <c r="G148" s="160" t="s">
        <v>826</v>
      </c>
      <c r="H148" s="160" t="s">
        <v>81</v>
      </c>
      <c r="I148" s="160" t="s">
        <v>488</v>
      </c>
      <c r="J148" s="160" t="s">
        <v>1005</v>
      </c>
      <c r="K148" s="161">
        <v>2</v>
      </c>
      <c r="L148" s="160" t="s">
        <v>917</v>
      </c>
      <c r="M148" s="160" t="s">
        <v>826</v>
      </c>
      <c r="N148" s="160" t="s">
        <v>1040</v>
      </c>
      <c r="O148" s="160" t="s">
        <v>1041</v>
      </c>
      <c r="P148" s="160" t="s">
        <v>1035</v>
      </c>
      <c r="Q148" s="160"/>
      <c r="R148" s="162" t="s">
        <v>278</v>
      </c>
      <c r="S148" s="160" t="s">
        <v>840</v>
      </c>
      <c r="T148" s="159" t="s">
        <v>261</v>
      </c>
    </row>
    <row r="149" spans="1:20" ht="42" customHeight="1" x14ac:dyDescent="0.5">
      <c r="A149" s="156" t="s">
        <v>359</v>
      </c>
      <c r="B149" s="156"/>
      <c r="C149" s="155" t="s">
        <v>491</v>
      </c>
      <c r="D149" s="156" t="s">
        <v>288</v>
      </c>
      <c r="E149" s="156" t="s">
        <v>277</v>
      </c>
      <c r="F149" s="156" t="s">
        <v>1047</v>
      </c>
      <c r="G149" s="156" t="s">
        <v>938</v>
      </c>
      <c r="H149" s="156" t="s">
        <v>81</v>
      </c>
      <c r="I149" s="156" t="s">
        <v>352</v>
      </c>
      <c r="J149" s="156" t="s">
        <v>110</v>
      </c>
      <c r="K149" s="157">
        <v>5</v>
      </c>
      <c r="L149" s="156" t="s">
        <v>919</v>
      </c>
      <c r="M149" s="156" t="s">
        <v>826</v>
      </c>
      <c r="N149" s="156" t="s">
        <v>1032</v>
      </c>
      <c r="O149" s="156" t="s">
        <v>1033</v>
      </c>
      <c r="P149" s="156" t="s">
        <v>1004</v>
      </c>
      <c r="Q149" s="156"/>
      <c r="R149" s="158" t="s">
        <v>295</v>
      </c>
      <c r="S149" s="156"/>
      <c r="T149" s="155" t="s">
        <v>261</v>
      </c>
    </row>
    <row r="150" spans="1:20" ht="31.5" customHeight="1" x14ac:dyDescent="0.5">
      <c r="A150" s="160" t="s">
        <v>359</v>
      </c>
      <c r="B150" s="160"/>
      <c r="C150" s="159" t="s">
        <v>1048</v>
      </c>
      <c r="D150" s="160" t="s">
        <v>288</v>
      </c>
      <c r="E150" s="160" t="s">
        <v>820</v>
      </c>
      <c r="F150" s="160" t="s">
        <v>1047</v>
      </c>
      <c r="G150" s="160" t="s">
        <v>938</v>
      </c>
      <c r="H150" s="160" t="s">
        <v>81</v>
      </c>
      <c r="I150" s="160" t="s">
        <v>248</v>
      </c>
      <c r="J150" s="160" t="s">
        <v>110</v>
      </c>
      <c r="K150" s="161">
        <v>5</v>
      </c>
      <c r="L150" s="160"/>
      <c r="M150" s="160"/>
      <c r="N150" s="160"/>
      <c r="O150" s="160"/>
      <c r="P150" s="160"/>
      <c r="Q150" s="160"/>
      <c r="R150" s="162"/>
      <c r="S150" s="160"/>
      <c r="T150" s="159" t="s">
        <v>261</v>
      </c>
    </row>
    <row r="151" spans="1:20" ht="63" customHeight="1" x14ac:dyDescent="0.5">
      <c r="A151" s="156" t="s">
        <v>87</v>
      </c>
      <c r="B151" s="156"/>
      <c r="C151" s="155" t="s">
        <v>493</v>
      </c>
      <c r="D151" s="156" t="s">
        <v>282</v>
      </c>
      <c r="E151" s="156" t="s">
        <v>277</v>
      </c>
      <c r="F151" s="156" t="s">
        <v>1049</v>
      </c>
      <c r="G151" s="156" t="s">
        <v>826</v>
      </c>
      <c r="H151" s="156" t="s">
        <v>81</v>
      </c>
      <c r="I151" s="156" t="s">
        <v>492</v>
      </c>
      <c r="J151" s="156" t="s">
        <v>110</v>
      </c>
      <c r="K151" s="157">
        <v>4</v>
      </c>
      <c r="L151" s="156" t="s">
        <v>1000</v>
      </c>
      <c r="M151" s="156" t="s">
        <v>826</v>
      </c>
      <c r="N151" s="156" t="s">
        <v>1046</v>
      </c>
      <c r="O151" s="156" t="s">
        <v>1043</v>
      </c>
      <c r="P151" s="156" t="s">
        <v>1050</v>
      </c>
      <c r="Q151" s="156"/>
      <c r="R151" s="158" t="s">
        <v>295</v>
      </c>
      <c r="S151" s="156"/>
      <c r="T151" s="155" t="s">
        <v>261</v>
      </c>
    </row>
    <row r="152" spans="1:20" ht="63" customHeight="1" x14ac:dyDescent="0.5">
      <c r="A152" s="160" t="s">
        <v>87</v>
      </c>
      <c r="B152" s="160"/>
      <c r="C152" s="159" t="s">
        <v>496</v>
      </c>
      <c r="D152" s="160" t="s">
        <v>282</v>
      </c>
      <c r="E152" s="160" t="s">
        <v>277</v>
      </c>
      <c r="F152" s="160" t="s">
        <v>1049</v>
      </c>
      <c r="G152" s="160" t="s">
        <v>826</v>
      </c>
      <c r="H152" s="160" t="s">
        <v>81</v>
      </c>
      <c r="I152" s="160" t="s">
        <v>495</v>
      </c>
      <c r="J152" s="160" t="s">
        <v>110</v>
      </c>
      <c r="K152" s="161">
        <v>4</v>
      </c>
      <c r="L152" s="160" t="s">
        <v>1000</v>
      </c>
      <c r="M152" s="160" t="s">
        <v>826</v>
      </c>
      <c r="N152" s="160" t="s">
        <v>1043</v>
      </c>
      <c r="O152" s="160" t="s">
        <v>1040</v>
      </c>
      <c r="P152" s="160" t="s">
        <v>1050</v>
      </c>
      <c r="Q152" s="160"/>
      <c r="R152" s="162" t="s">
        <v>295</v>
      </c>
      <c r="S152" s="160"/>
      <c r="T152" s="159" t="s">
        <v>261</v>
      </c>
    </row>
    <row r="153" spans="1:20" ht="31.5" customHeight="1" x14ac:dyDescent="0.5">
      <c r="A153" s="156" t="s">
        <v>87</v>
      </c>
      <c r="B153" s="156"/>
      <c r="C153" s="155" t="s">
        <v>497</v>
      </c>
      <c r="D153" s="156" t="s">
        <v>282</v>
      </c>
      <c r="E153" s="156" t="s">
        <v>277</v>
      </c>
      <c r="F153" s="156" t="s">
        <v>1049</v>
      </c>
      <c r="G153" s="156" t="s">
        <v>831</v>
      </c>
      <c r="H153" s="156" t="s">
        <v>81</v>
      </c>
      <c r="I153" s="156" t="s">
        <v>314</v>
      </c>
      <c r="J153" s="156" t="s">
        <v>810</v>
      </c>
      <c r="K153" s="157">
        <v>4</v>
      </c>
      <c r="L153" s="156" t="s">
        <v>1002</v>
      </c>
      <c r="M153" s="156" t="s">
        <v>834</v>
      </c>
      <c r="N153" s="156" t="s">
        <v>888</v>
      </c>
      <c r="O153" s="156" t="s">
        <v>1019</v>
      </c>
      <c r="P153" s="156" t="s">
        <v>888</v>
      </c>
      <c r="Q153" s="156"/>
      <c r="R153" s="158"/>
      <c r="S153" s="156"/>
      <c r="T153" s="155" t="s">
        <v>261</v>
      </c>
    </row>
    <row r="154" spans="1:20" ht="31.5" customHeight="1" x14ac:dyDescent="0.5">
      <c r="A154" s="160" t="s">
        <v>87</v>
      </c>
      <c r="B154" s="160"/>
      <c r="C154" s="159" t="s">
        <v>1051</v>
      </c>
      <c r="D154" s="160" t="s">
        <v>288</v>
      </c>
      <c r="E154" s="160" t="s">
        <v>820</v>
      </c>
      <c r="F154" s="160" t="s">
        <v>1052</v>
      </c>
      <c r="G154" s="160" t="s">
        <v>831</v>
      </c>
      <c r="H154" s="160" t="s">
        <v>81</v>
      </c>
      <c r="I154" s="160" t="s">
        <v>681</v>
      </c>
      <c r="J154" s="160" t="s">
        <v>859</v>
      </c>
      <c r="K154" s="161">
        <v>3</v>
      </c>
      <c r="L154" s="160"/>
      <c r="M154" s="160"/>
      <c r="N154" s="160"/>
      <c r="O154" s="160"/>
      <c r="P154" s="160"/>
      <c r="Q154" s="160"/>
      <c r="R154" s="162"/>
      <c r="S154" s="160"/>
      <c r="T154" s="159" t="s">
        <v>261</v>
      </c>
    </row>
    <row r="155" spans="1:20" ht="31.5" customHeight="1" x14ac:dyDescent="0.5">
      <c r="A155" s="156" t="s">
        <v>87</v>
      </c>
      <c r="B155" s="156"/>
      <c r="C155" s="155" t="s">
        <v>1053</v>
      </c>
      <c r="D155" s="156" t="s">
        <v>288</v>
      </c>
      <c r="E155" s="156" t="s">
        <v>820</v>
      </c>
      <c r="F155" s="156" t="s">
        <v>1052</v>
      </c>
      <c r="G155" s="156" t="s">
        <v>831</v>
      </c>
      <c r="H155" s="156" t="s">
        <v>81</v>
      </c>
      <c r="I155" s="156" t="s">
        <v>681</v>
      </c>
      <c r="J155" s="156" t="s">
        <v>859</v>
      </c>
      <c r="K155" s="157">
        <v>1</v>
      </c>
      <c r="L155" s="156"/>
      <c r="M155" s="156"/>
      <c r="N155" s="156"/>
      <c r="O155" s="156"/>
      <c r="P155" s="156"/>
      <c r="Q155" s="156"/>
      <c r="R155" s="158"/>
      <c r="S155" s="156"/>
      <c r="T155" s="155" t="s">
        <v>261</v>
      </c>
    </row>
    <row r="156" spans="1:20" ht="31.5" customHeight="1" x14ac:dyDescent="0.5">
      <c r="A156" s="160" t="s">
        <v>87</v>
      </c>
      <c r="B156" s="160"/>
      <c r="C156" s="159" t="s">
        <v>1054</v>
      </c>
      <c r="D156" s="160" t="s">
        <v>288</v>
      </c>
      <c r="E156" s="160" t="s">
        <v>820</v>
      </c>
      <c r="F156" s="160" t="s">
        <v>1052</v>
      </c>
      <c r="G156" s="160" t="s">
        <v>831</v>
      </c>
      <c r="H156" s="160" t="s">
        <v>81</v>
      </c>
      <c r="I156" s="160" t="s">
        <v>681</v>
      </c>
      <c r="J156" s="160" t="s">
        <v>859</v>
      </c>
      <c r="K156" s="161">
        <v>8</v>
      </c>
      <c r="L156" s="160"/>
      <c r="M156" s="160"/>
      <c r="N156" s="160"/>
      <c r="O156" s="160"/>
      <c r="P156" s="160"/>
      <c r="Q156" s="160"/>
      <c r="R156" s="162"/>
      <c r="S156" s="160"/>
      <c r="T156" s="159" t="s">
        <v>261</v>
      </c>
    </row>
    <row r="157" spans="1:20" ht="31.5" customHeight="1" x14ac:dyDescent="0.5">
      <c r="A157" s="156" t="s">
        <v>87</v>
      </c>
      <c r="B157" s="156"/>
      <c r="C157" s="155" t="s">
        <v>499</v>
      </c>
      <c r="D157" s="156" t="s">
        <v>282</v>
      </c>
      <c r="E157" s="156" t="s">
        <v>277</v>
      </c>
      <c r="F157" s="156" t="s">
        <v>1055</v>
      </c>
      <c r="G157" s="156" t="s">
        <v>826</v>
      </c>
      <c r="H157" s="156" t="s">
        <v>81</v>
      </c>
      <c r="I157" s="156" t="s">
        <v>498</v>
      </c>
      <c r="J157" s="156" t="s">
        <v>1005</v>
      </c>
      <c r="K157" s="157">
        <v>2</v>
      </c>
      <c r="L157" s="156" t="s">
        <v>977</v>
      </c>
      <c r="M157" s="156" t="s">
        <v>826</v>
      </c>
      <c r="N157" s="156" t="s">
        <v>1047</v>
      </c>
      <c r="O157" s="156" t="s">
        <v>1043</v>
      </c>
      <c r="P157" s="156" t="s">
        <v>1006</v>
      </c>
      <c r="Q157" s="156"/>
      <c r="R157" s="158" t="s">
        <v>278</v>
      </c>
      <c r="S157" s="156" t="s">
        <v>840</v>
      </c>
      <c r="T157" s="155" t="s">
        <v>261</v>
      </c>
    </row>
    <row r="158" spans="1:20" ht="63" customHeight="1" x14ac:dyDescent="0.5">
      <c r="A158" s="160" t="s">
        <v>87</v>
      </c>
      <c r="B158" s="160"/>
      <c r="C158" s="159" t="s">
        <v>501</v>
      </c>
      <c r="D158" s="160" t="s">
        <v>282</v>
      </c>
      <c r="E158" s="160" t="s">
        <v>277</v>
      </c>
      <c r="F158" s="160" t="s">
        <v>1055</v>
      </c>
      <c r="G158" s="160" t="s">
        <v>826</v>
      </c>
      <c r="H158" s="160" t="s">
        <v>81</v>
      </c>
      <c r="I158" s="160" t="s">
        <v>500</v>
      </c>
      <c r="J158" s="160" t="s">
        <v>1005</v>
      </c>
      <c r="K158" s="161">
        <v>2</v>
      </c>
      <c r="L158" s="160" t="s">
        <v>916</v>
      </c>
      <c r="M158" s="160" t="s">
        <v>1056</v>
      </c>
      <c r="N158" s="160" t="s">
        <v>1057</v>
      </c>
      <c r="O158" s="160" t="s">
        <v>1049</v>
      </c>
      <c r="P158" s="160" t="s">
        <v>1049</v>
      </c>
      <c r="Q158" s="160"/>
      <c r="R158" s="162" t="s">
        <v>278</v>
      </c>
      <c r="S158" s="160" t="s">
        <v>840</v>
      </c>
      <c r="T158" s="159" t="s">
        <v>261</v>
      </c>
    </row>
    <row r="159" spans="1:20" ht="52.5" customHeight="1" x14ac:dyDescent="0.5">
      <c r="A159" s="156" t="s">
        <v>87</v>
      </c>
      <c r="B159" s="156"/>
      <c r="C159" s="155" t="s">
        <v>503</v>
      </c>
      <c r="D159" s="156" t="s">
        <v>282</v>
      </c>
      <c r="E159" s="156" t="s">
        <v>277</v>
      </c>
      <c r="F159" s="156" t="s">
        <v>1055</v>
      </c>
      <c r="G159" s="156" t="s">
        <v>826</v>
      </c>
      <c r="H159" s="156" t="s">
        <v>81</v>
      </c>
      <c r="I159" s="156" t="s">
        <v>471</v>
      </c>
      <c r="J159" s="156" t="s">
        <v>110</v>
      </c>
      <c r="K159" s="157">
        <v>2</v>
      </c>
      <c r="L159" s="156" t="s">
        <v>916</v>
      </c>
      <c r="M159" s="156" t="s">
        <v>826</v>
      </c>
      <c r="N159" s="156" t="s">
        <v>1057</v>
      </c>
      <c r="O159" s="156" t="s">
        <v>1049</v>
      </c>
      <c r="P159" s="156" t="s">
        <v>1047</v>
      </c>
      <c r="Q159" s="156"/>
      <c r="R159" s="158" t="s">
        <v>93</v>
      </c>
      <c r="S159" s="156"/>
      <c r="T159" s="155" t="s">
        <v>261</v>
      </c>
    </row>
    <row r="160" spans="1:20" ht="31.5" customHeight="1" x14ac:dyDescent="0.5">
      <c r="A160" s="160" t="s">
        <v>87</v>
      </c>
      <c r="B160" s="160"/>
      <c r="C160" s="159" t="s">
        <v>506</v>
      </c>
      <c r="D160" s="160" t="s">
        <v>282</v>
      </c>
      <c r="E160" s="160" t="s">
        <v>277</v>
      </c>
      <c r="F160" s="160" t="s">
        <v>1055</v>
      </c>
      <c r="G160" s="160" t="s">
        <v>826</v>
      </c>
      <c r="H160" s="160" t="s">
        <v>81</v>
      </c>
      <c r="I160" s="160" t="s">
        <v>297</v>
      </c>
      <c r="J160" s="160" t="s">
        <v>110</v>
      </c>
      <c r="K160" s="161">
        <v>6</v>
      </c>
      <c r="L160" s="160" t="s">
        <v>847</v>
      </c>
      <c r="M160" s="160" t="s">
        <v>826</v>
      </c>
      <c r="N160" s="160" t="s">
        <v>1052</v>
      </c>
      <c r="O160" s="160" t="s">
        <v>1049</v>
      </c>
      <c r="P160" s="160" t="s">
        <v>1031</v>
      </c>
      <c r="Q160" s="160"/>
      <c r="R160" s="162"/>
      <c r="S160" s="160"/>
      <c r="T160" s="159" t="s">
        <v>261</v>
      </c>
    </row>
    <row r="161" spans="1:20" ht="42" customHeight="1" x14ac:dyDescent="0.5">
      <c r="A161" s="156" t="s">
        <v>87</v>
      </c>
      <c r="B161" s="156"/>
      <c r="C161" s="155" t="s">
        <v>508</v>
      </c>
      <c r="D161" s="156" t="s">
        <v>282</v>
      </c>
      <c r="E161" s="156" t="s">
        <v>277</v>
      </c>
      <c r="F161" s="156" t="s">
        <v>1058</v>
      </c>
      <c r="G161" s="156" t="s">
        <v>826</v>
      </c>
      <c r="H161" s="156" t="s">
        <v>81</v>
      </c>
      <c r="I161" s="156" t="s">
        <v>507</v>
      </c>
      <c r="J161" s="156" t="s">
        <v>1005</v>
      </c>
      <c r="K161" s="157">
        <v>5</v>
      </c>
      <c r="L161" s="156" t="s">
        <v>1000</v>
      </c>
      <c r="M161" s="156" t="s">
        <v>826</v>
      </c>
      <c r="N161" s="156" t="s">
        <v>1059</v>
      </c>
      <c r="O161" s="156" t="s">
        <v>1055</v>
      </c>
      <c r="P161" s="156" t="s">
        <v>1055</v>
      </c>
      <c r="Q161" s="156"/>
      <c r="R161" s="158" t="s">
        <v>295</v>
      </c>
      <c r="S161" s="156"/>
      <c r="T161" s="155" t="s">
        <v>261</v>
      </c>
    </row>
    <row r="162" spans="1:20" ht="73.5" customHeight="1" x14ac:dyDescent="0.5">
      <c r="A162" s="160" t="s">
        <v>87</v>
      </c>
      <c r="B162" s="160"/>
      <c r="C162" s="159" t="s">
        <v>511</v>
      </c>
      <c r="D162" s="160" t="s">
        <v>282</v>
      </c>
      <c r="E162" s="160" t="s">
        <v>277</v>
      </c>
      <c r="F162" s="160" t="s">
        <v>1058</v>
      </c>
      <c r="G162" s="160" t="s">
        <v>826</v>
      </c>
      <c r="H162" s="160" t="s">
        <v>81</v>
      </c>
      <c r="I162" s="160" t="s">
        <v>510</v>
      </c>
      <c r="J162" s="160" t="s">
        <v>1005</v>
      </c>
      <c r="K162" s="161">
        <v>6</v>
      </c>
      <c r="L162" s="160" t="s">
        <v>1060</v>
      </c>
      <c r="M162" s="160" t="s">
        <v>826</v>
      </c>
      <c r="N162" s="160" t="s">
        <v>1059</v>
      </c>
      <c r="O162" s="160" t="s">
        <v>1047</v>
      </c>
      <c r="P162" s="160" t="s">
        <v>1047</v>
      </c>
      <c r="Q162" s="160"/>
      <c r="R162" s="162" t="s">
        <v>278</v>
      </c>
      <c r="S162" s="160" t="s">
        <v>840</v>
      </c>
      <c r="T162" s="159" t="s">
        <v>261</v>
      </c>
    </row>
    <row r="163" spans="1:20" ht="63" customHeight="1" x14ac:dyDescent="0.5">
      <c r="A163" s="156" t="s">
        <v>87</v>
      </c>
      <c r="B163" s="156"/>
      <c r="C163" s="155" t="s">
        <v>513</v>
      </c>
      <c r="D163" s="156" t="s">
        <v>282</v>
      </c>
      <c r="E163" s="156" t="s">
        <v>277</v>
      </c>
      <c r="F163" s="156" t="s">
        <v>1058</v>
      </c>
      <c r="G163" s="156" t="s">
        <v>826</v>
      </c>
      <c r="H163" s="156" t="s">
        <v>81</v>
      </c>
      <c r="I163" s="156" t="s">
        <v>512</v>
      </c>
      <c r="J163" s="156" t="s">
        <v>1005</v>
      </c>
      <c r="K163" s="157">
        <v>5</v>
      </c>
      <c r="L163" s="156" t="s">
        <v>1061</v>
      </c>
      <c r="M163" s="156" t="s">
        <v>826</v>
      </c>
      <c r="N163" s="156" t="s">
        <v>1059</v>
      </c>
      <c r="O163" s="156" t="s">
        <v>1055</v>
      </c>
      <c r="P163" s="156" t="s">
        <v>1047</v>
      </c>
      <c r="Q163" s="156"/>
      <c r="R163" s="158" t="s">
        <v>295</v>
      </c>
      <c r="S163" s="156" t="s">
        <v>840</v>
      </c>
      <c r="T163" s="155" t="s">
        <v>261</v>
      </c>
    </row>
    <row r="164" spans="1:20" ht="63" customHeight="1" x14ac:dyDescent="0.5">
      <c r="A164" s="160" t="s">
        <v>87</v>
      </c>
      <c r="B164" s="160"/>
      <c r="C164" s="159" t="s">
        <v>515</v>
      </c>
      <c r="D164" s="160" t="s">
        <v>282</v>
      </c>
      <c r="E164" s="160" t="s">
        <v>277</v>
      </c>
      <c r="F164" s="160" t="s">
        <v>1058</v>
      </c>
      <c r="G164" s="160" t="s">
        <v>826</v>
      </c>
      <c r="H164" s="160" t="s">
        <v>81</v>
      </c>
      <c r="I164" s="160" t="s">
        <v>514</v>
      </c>
      <c r="J164" s="160" t="s">
        <v>1005</v>
      </c>
      <c r="K164" s="161">
        <v>8</v>
      </c>
      <c r="L164" s="160" t="s">
        <v>911</v>
      </c>
      <c r="M164" s="160" t="s">
        <v>826</v>
      </c>
      <c r="N164" s="160" t="s">
        <v>1055</v>
      </c>
      <c r="O164" s="160" t="s">
        <v>1047</v>
      </c>
      <c r="P164" s="160" t="s">
        <v>1047</v>
      </c>
      <c r="Q164" s="160"/>
      <c r="R164" s="162" t="s">
        <v>278</v>
      </c>
      <c r="S164" s="160" t="s">
        <v>840</v>
      </c>
      <c r="T164" s="159" t="s">
        <v>261</v>
      </c>
    </row>
    <row r="165" spans="1:20" ht="42" customHeight="1" x14ac:dyDescent="0.5">
      <c r="A165" s="156" t="s">
        <v>87</v>
      </c>
      <c r="B165" s="156"/>
      <c r="C165" s="155" t="s">
        <v>517</v>
      </c>
      <c r="D165" s="156" t="s">
        <v>282</v>
      </c>
      <c r="E165" s="156" t="s">
        <v>277</v>
      </c>
      <c r="F165" s="156" t="s">
        <v>1058</v>
      </c>
      <c r="G165" s="156" t="s">
        <v>826</v>
      </c>
      <c r="H165" s="156" t="s">
        <v>81</v>
      </c>
      <c r="I165" s="156" t="s">
        <v>516</v>
      </c>
      <c r="J165" s="156" t="s">
        <v>1005</v>
      </c>
      <c r="K165" s="157">
        <v>2</v>
      </c>
      <c r="L165" s="156" t="s">
        <v>906</v>
      </c>
      <c r="M165" s="156" t="s">
        <v>826</v>
      </c>
      <c r="N165" s="156" t="s">
        <v>1059</v>
      </c>
      <c r="O165" s="156" t="s">
        <v>1055</v>
      </c>
      <c r="P165" s="156" t="s">
        <v>1006</v>
      </c>
      <c r="Q165" s="156"/>
      <c r="R165" s="158" t="s">
        <v>278</v>
      </c>
      <c r="S165" s="156" t="s">
        <v>840</v>
      </c>
      <c r="T165" s="155" t="s">
        <v>261</v>
      </c>
    </row>
    <row r="166" spans="1:20" ht="63" customHeight="1" x14ac:dyDescent="0.5">
      <c r="A166" s="160" t="s">
        <v>87</v>
      </c>
      <c r="B166" s="160"/>
      <c r="C166" s="159" t="s">
        <v>1062</v>
      </c>
      <c r="D166" s="160" t="s">
        <v>282</v>
      </c>
      <c r="E166" s="160" t="s">
        <v>820</v>
      </c>
      <c r="F166" s="160" t="s">
        <v>1058</v>
      </c>
      <c r="G166" s="160" t="s">
        <v>826</v>
      </c>
      <c r="H166" s="160" t="s">
        <v>81</v>
      </c>
      <c r="I166" s="160" t="s">
        <v>730</v>
      </c>
      <c r="J166" s="160" t="s">
        <v>1005</v>
      </c>
      <c r="K166" s="161">
        <v>2</v>
      </c>
      <c r="L166" s="160"/>
      <c r="M166" s="160"/>
      <c r="N166" s="160"/>
      <c r="O166" s="160"/>
      <c r="P166" s="160"/>
      <c r="Q166" s="160"/>
      <c r="R166" s="162"/>
      <c r="S166" s="160" t="s">
        <v>840</v>
      </c>
      <c r="T166" s="159" t="s">
        <v>261</v>
      </c>
    </row>
    <row r="167" spans="1:20" ht="42" customHeight="1" x14ac:dyDescent="0.5">
      <c r="A167" s="156" t="s">
        <v>87</v>
      </c>
      <c r="B167" s="156"/>
      <c r="C167" s="155" t="s">
        <v>519</v>
      </c>
      <c r="D167" s="156" t="s">
        <v>282</v>
      </c>
      <c r="E167" s="156" t="s">
        <v>277</v>
      </c>
      <c r="F167" s="156" t="s">
        <v>1058</v>
      </c>
      <c r="G167" s="156" t="s">
        <v>826</v>
      </c>
      <c r="H167" s="156" t="s">
        <v>81</v>
      </c>
      <c r="I167" s="156" t="s">
        <v>518</v>
      </c>
      <c r="J167" s="156" t="s">
        <v>1005</v>
      </c>
      <c r="K167" s="157">
        <v>4</v>
      </c>
      <c r="L167" s="156" t="s">
        <v>911</v>
      </c>
      <c r="M167" s="156" t="s">
        <v>826</v>
      </c>
      <c r="N167" s="156" t="s">
        <v>1046</v>
      </c>
      <c r="O167" s="156" t="s">
        <v>1043</v>
      </c>
      <c r="P167" s="156" t="s">
        <v>1006</v>
      </c>
      <c r="Q167" s="156"/>
      <c r="R167" s="158" t="s">
        <v>278</v>
      </c>
      <c r="S167" s="156" t="s">
        <v>840</v>
      </c>
      <c r="T167" s="155" t="s">
        <v>261</v>
      </c>
    </row>
    <row r="168" spans="1:20" ht="42" customHeight="1" x14ac:dyDescent="0.5">
      <c r="A168" s="160" t="s">
        <v>87</v>
      </c>
      <c r="B168" s="160"/>
      <c r="C168" s="159" t="s">
        <v>521</v>
      </c>
      <c r="D168" s="160" t="s">
        <v>282</v>
      </c>
      <c r="E168" s="160" t="s">
        <v>277</v>
      </c>
      <c r="F168" s="160" t="s">
        <v>1058</v>
      </c>
      <c r="G168" s="160" t="s">
        <v>826</v>
      </c>
      <c r="H168" s="160" t="s">
        <v>81</v>
      </c>
      <c r="I168" s="160" t="s">
        <v>520</v>
      </c>
      <c r="J168" s="160" t="s">
        <v>1005</v>
      </c>
      <c r="K168" s="161">
        <v>4</v>
      </c>
      <c r="L168" s="160" t="s">
        <v>906</v>
      </c>
      <c r="M168" s="160" t="s">
        <v>826</v>
      </c>
      <c r="N168" s="160" t="s">
        <v>1059</v>
      </c>
      <c r="O168" s="160" t="s">
        <v>1047</v>
      </c>
      <c r="P168" s="160" t="s">
        <v>1047</v>
      </c>
      <c r="Q168" s="160"/>
      <c r="R168" s="162" t="s">
        <v>278</v>
      </c>
      <c r="S168" s="160" t="s">
        <v>840</v>
      </c>
      <c r="T168" s="159" t="s">
        <v>261</v>
      </c>
    </row>
    <row r="169" spans="1:20" ht="63" customHeight="1" x14ac:dyDescent="0.5">
      <c r="A169" s="156" t="s">
        <v>87</v>
      </c>
      <c r="B169" s="156"/>
      <c r="C169" s="155" t="s">
        <v>523</v>
      </c>
      <c r="D169" s="156" t="s">
        <v>282</v>
      </c>
      <c r="E169" s="156" t="s">
        <v>277</v>
      </c>
      <c r="F169" s="156" t="s">
        <v>1058</v>
      </c>
      <c r="G169" s="156" t="s">
        <v>826</v>
      </c>
      <c r="H169" s="156" t="s">
        <v>81</v>
      </c>
      <c r="I169" s="156" t="s">
        <v>522</v>
      </c>
      <c r="J169" s="156" t="s">
        <v>1005</v>
      </c>
      <c r="K169" s="157">
        <v>2</v>
      </c>
      <c r="L169" s="156" t="s">
        <v>977</v>
      </c>
      <c r="M169" s="156" t="s">
        <v>826</v>
      </c>
      <c r="N169" s="156" t="s">
        <v>1063</v>
      </c>
      <c r="O169" s="156" t="s">
        <v>1055</v>
      </c>
      <c r="P169" s="156" t="s">
        <v>1031</v>
      </c>
      <c r="Q169" s="156"/>
      <c r="R169" s="158" t="s">
        <v>278</v>
      </c>
      <c r="S169" s="156" t="s">
        <v>840</v>
      </c>
      <c r="T169" s="155" t="s">
        <v>261</v>
      </c>
    </row>
    <row r="170" spans="1:20" ht="63" customHeight="1" x14ac:dyDescent="0.5">
      <c r="A170" s="160" t="s">
        <v>87</v>
      </c>
      <c r="B170" s="160"/>
      <c r="C170" s="159" t="s">
        <v>1064</v>
      </c>
      <c r="D170" s="160" t="s">
        <v>282</v>
      </c>
      <c r="E170" s="160" t="s">
        <v>820</v>
      </c>
      <c r="F170" s="160" t="s">
        <v>1058</v>
      </c>
      <c r="G170" s="160" t="s">
        <v>826</v>
      </c>
      <c r="H170" s="160" t="s">
        <v>81</v>
      </c>
      <c r="I170" s="160" t="s">
        <v>488</v>
      </c>
      <c r="J170" s="160" t="s">
        <v>1005</v>
      </c>
      <c r="K170" s="161">
        <v>2</v>
      </c>
      <c r="L170" s="160"/>
      <c r="M170" s="160"/>
      <c r="N170" s="160"/>
      <c r="O170" s="160"/>
      <c r="P170" s="160"/>
      <c r="Q170" s="160"/>
      <c r="R170" s="162"/>
      <c r="S170" s="160" t="s">
        <v>840</v>
      </c>
      <c r="T170" s="159" t="s">
        <v>261</v>
      </c>
    </row>
    <row r="171" spans="1:20" ht="31.5" customHeight="1" x14ac:dyDescent="0.5">
      <c r="A171" s="156" t="s">
        <v>87</v>
      </c>
      <c r="B171" s="156"/>
      <c r="C171" s="155" t="s">
        <v>1065</v>
      </c>
      <c r="D171" s="156" t="s">
        <v>282</v>
      </c>
      <c r="E171" s="156" t="s">
        <v>820</v>
      </c>
      <c r="F171" s="156" t="s">
        <v>1058</v>
      </c>
      <c r="G171" s="156" t="s">
        <v>826</v>
      </c>
      <c r="H171" s="156" t="s">
        <v>81</v>
      </c>
      <c r="I171" s="156" t="s">
        <v>1066</v>
      </c>
      <c r="J171" s="156" t="s">
        <v>110</v>
      </c>
      <c r="K171" s="157">
        <v>2</v>
      </c>
      <c r="L171" s="156"/>
      <c r="M171" s="156"/>
      <c r="N171" s="156"/>
      <c r="O171" s="156"/>
      <c r="P171" s="156"/>
      <c r="Q171" s="156"/>
      <c r="R171" s="158"/>
      <c r="S171" s="156"/>
      <c r="T171" s="155" t="s">
        <v>261</v>
      </c>
    </row>
    <row r="172" spans="1:20" ht="63" customHeight="1" x14ac:dyDescent="0.5">
      <c r="A172" s="160" t="s">
        <v>87</v>
      </c>
      <c r="B172" s="160"/>
      <c r="C172" s="159" t="s">
        <v>524</v>
      </c>
      <c r="D172" s="160" t="s">
        <v>282</v>
      </c>
      <c r="E172" s="160" t="s">
        <v>277</v>
      </c>
      <c r="F172" s="160" t="s">
        <v>1067</v>
      </c>
      <c r="G172" s="160" t="s">
        <v>826</v>
      </c>
      <c r="H172" s="160" t="s">
        <v>81</v>
      </c>
      <c r="I172" s="160" t="s">
        <v>375</v>
      </c>
      <c r="J172" s="160" t="s">
        <v>1005</v>
      </c>
      <c r="K172" s="161">
        <v>3</v>
      </c>
      <c r="L172" s="160" t="s">
        <v>916</v>
      </c>
      <c r="M172" s="160" t="s">
        <v>826</v>
      </c>
      <c r="N172" s="160" t="s">
        <v>1059</v>
      </c>
      <c r="O172" s="160" t="s">
        <v>1059</v>
      </c>
      <c r="P172" s="160" t="s">
        <v>1047</v>
      </c>
      <c r="Q172" s="160"/>
      <c r="R172" s="162" t="s">
        <v>278</v>
      </c>
      <c r="S172" s="160" t="s">
        <v>840</v>
      </c>
      <c r="T172" s="159" t="s">
        <v>261</v>
      </c>
    </row>
    <row r="173" spans="1:20" ht="42" customHeight="1" x14ac:dyDescent="0.5">
      <c r="A173" s="156" t="s">
        <v>87</v>
      </c>
      <c r="B173" s="156"/>
      <c r="C173" s="155" t="s">
        <v>526</v>
      </c>
      <c r="D173" s="156" t="s">
        <v>282</v>
      </c>
      <c r="E173" s="156" t="s">
        <v>277</v>
      </c>
      <c r="F173" s="156" t="s">
        <v>1067</v>
      </c>
      <c r="G173" s="156" t="s">
        <v>826</v>
      </c>
      <c r="H173" s="156" t="s">
        <v>81</v>
      </c>
      <c r="I173" s="156" t="s">
        <v>525</v>
      </c>
      <c r="J173" s="156" t="s">
        <v>1005</v>
      </c>
      <c r="K173" s="157">
        <v>4</v>
      </c>
      <c r="L173" s="156" t="s">
        <v>1038</v>
      </c>
      <c r="M173" s="156" t="s">
        <v>826</v>
      </c>
      <c r="N173" s="156" t="s">
        <v>1059</v>
      </c>
      <c r="O173" s="156" t="s">
        <v>1055</v>
      </c>
      <c r="P173" s="156" t="s">
        <v>1047</v>
      </c>
      <c r="Q173" s="156"/>
      <c r="R173" s="158" t="s">
        <v>278</v>
      </c>
      <c r="S173" s="156" t="s">
        <v>840</v>
      </c>
      <c r="T173" s="155" t="s">
        <v>261</v>
      </c>
    </row>
    <row r="174" spans="1:20" ht="63" customHeight="1" x14ac:dyDescent="0.5">
      <c r="A174" s="160" t="s">
        <v>87</v>
      </c>
      <c r="B174" s="160"/>
      <c r="C174" s="159" t="s">
        <v>528</v>
      </c>
      <c r="D174" s="160" t="s">
        <v>282</v>
      </c>
      <c r="E174" s="160" t="s">
        <v>277</v>
      </c>
      <c r="F174" s="160" t="s">
        <v>1067</v>
      </c>
      <c r="G174" s="160" t="s">
        <v>826</v>
      </c>
      <c r="H174" s="160" t="s">
        <v>81</v>
      </c>
      <c r="I174" s="160" t="s">
        <v>527</v>
      </c>
      <c r="J174" s="160" t="s">
        <v>1005</v>
      </c>
      <c r="K174" s="161">
        <v>2</v>
      </c>
      <c r="L174" s="160" t="s">
        <v>1038</v>
      </c>
      <c r="M174" s="160" t="s">
        <v>826</v>
      </c>
      <c r="N174" s="160" t="s">
        <v>1067</v>
      </c>
      <c r="O174" s="160" t="s">
        <v>1063</v>
      </c>
      <c r="P174" s="160" t="s">
        <v>1063</v>
      </c>
      <c r="Q174" s="160"/>
      <c r="R174" s="162" t="s">
        <v>295</v>
      </c>
      <c r="S174" s="160" t="s">
        <v>840</v>
      </c>
      <c r="T174" s="159" t="s">
        <v>261</v>
      </c>
    </row>
    <row r="175" spans="1:20" ht="31.5" customHeight="1" x14ac:dyDescent="0.5">
      <c r="A175" s="156" t="s">
        <v>87</v>
      </c>
      <c r="B175" s="156"/>
      <c r="C175" s="155" t="s">
        <v>1068</v>
      </c>
      <c r="D175" s="156" t="s">
        <v>282</v>
      </c>
      <c r="E175" s="156" t="s">
        <v>820</v>
      </c>
      <c r="F175" s="156" t="s">
        <v>1067</v>
      </c>
      <c r="G175" s="156" t="s">
        <v>826</v>
      </c>
      <c r="H175" s="156" t="s">
        <v>81</v>
      </c>
      <c r="I175" s="156" t="s">
        <v>463</v>
      </c>
      <c r="J175" s="156" t="s">
        <v>1005</v>
      </c>
      <c r="K175" s="157">
        <v>5</v>
      </c>
      <c r="L175" s="156"/>
      <c r="M175" s="156"/>
      <c r="N175" s="156"/>
      <c r="O175" s="156"/>
      <c r="P175" s="156"/>
      <c r="Q175" s="156"/>
      <c r="R175" s="158"/>
      <c r="S175" s="156"/>
      <c r="T175" s="155" t="s">
        <v>261</v>
      </c>
    </row>
    <row r="176" spans="1:20" ht="31.5" customHeight="1" x14ac:dyDescent="0.5">
      <c r="A176" s="160" t="s">
        <v>87</v>
      </c>
      <c r="B176" s="160"/>
      <c r="C176" s="159" t="s">
        <v>531</v>
      </c>
      <c r="D176" s="160" t="s">
        <v>282</v>
      </c>
      <c r="E176" s="160" t="s">
        <v>277</v>
      </c>
      <c r="F176" s="160" t="s">
        <v>1067</v>
      </c>
      <c r="G176" s="160" t="s">
        <v>826</v>
      </c>
      <c r="H176" s="160" t="s">
        <v>81</v>
      </c>
      <c r="I176" s="160" t="s">
        <v>530</v>
      </c>
      <c r="J176" s="160" t="s">
        <v>1005</v>
      </c>
      <c r="K176" s="161">
        <v>2</v>
      </c>
      <c r="L176" s="160" t="s">
        <v>1000</v>
      </c>
      <c r="M176" s="160" t="s">
        <v>826</v>
      </c>
      <c r="N176" s="160" t="s">
        <v>1058</v>
      </c>
      <c r="O176" s="160" t="s">
        <v>1063</v>
      </c>
      <c r="P176" s="160" t="s">
        <v>1050</v>
      </c>
      <c r="Q176" s="160"/>
      <c r="R176" s="162" t="s">
        <v>295</v>
      </c>
      <c r="S176" s="160" t="s">
        <v>840</v>
      </c>
      <c r="T176" s="159" t="s">
        <v>261</v>
      </c>
    </row>
    <row r="177" spans="1:20" ht="31.5" customHeight="1" x14ac:dyDescent="0.5">
      <c r="A177" s="156" t="s">
        <v>87</v>
      </c>
      <c r="B177" s="156"/>
      <c r="C177" s="155" t="s">
        <v>532</v>
      </c>
      <c r="D177" s="156" t="s">
        <v>282</v>
      </c>
      <c r="E177" s="156" t="s">
        <v>277</v>
      </c>
      <c r="F177" s="156" t="s">
        <v>1067</v>
      </c>
      <c r="G177" s="156" t="s">
        <v>826</v>
      </c>
      <c r="H177" s="156" t="s">
        <v>81</v>
      </c>
      <c r="I177" s="156" t="s">
        <v>475</v>
      </c>
      <c r="J177" s="156" t="s">
        <v>1005</v>
      </c>
      <c r="K177" s="157">
        <v>3</v>
      </c>
      <c r="L177" s="156" t="s">
        <v>906</v>
      </c>
      <c r="M177" s="156" t="s">
        <v>826</v>
      </c>
      <c r="N177" s="156" t="s">
        <v>1063</v>
      </c>
      <c r="O177" s="156" t="s">
        <v>1052</v>
      </c>
      <c r="P177" s="156" t="s">
        <v>1006</v>
      </c>
      <c r="Q177" s="156"/>
      <c r="R177" s="158" t="s">
        <v>295</v>
      </c>
      <c r="S177" s="156" t="s">
        <v>840</v>
      </c>
      <c r="T177" s="155" t="s">
        <v>261</v>
      </c>
    </row>
    <row r="178" spans="1:20" ht="42" customHeight="1" x14ac:dyDescent="0.5">
      <c r="A178" s="160" t="s">
        <v>87</v>
      </c>
      <c r="B178" s="160"/>
      <c r="C178" s="159" t="s">
        <v>534</v>
      </c>
      <c r="D178" s="160" t="s">
        <v>282</v>
      </c>
      <c r="E178" s="160" t="s">
        <v>277</v>
      </c>
      <c r="F178" s="160" t="s">
        <v>1069</v>
      </c>
      <c r="G178" s="160" t="s">
        <v>826</v>
      </c>
      <c r="H178" s="160" t="s">
        <v>81</v>
      </c>
      <c r="I178" s="160" t="s">
        <v>533</v>
      </c>
      <c r="J178" s="160" t="s">
        <v>1005</v>
      </c>
      <c r="K178" s="161">
        <v>4</v>
      </c>
      <c r="L178" s="160" t="s">
        <v>1000</v>
      </c>
      <c r="M178" s="160" t="s">
        <v>826</v>
      </c>
      <c r="N178" s="160" t="s">
        <v>1067</v>
      </c>
      <c r="O178" s="160" t="s">
        <v>1058</v>
      </c>
      <c r="P178" s="160" t="s">
        <v>1063</v>
      </c>
      <c r="Q178" s="160"/>
      <c r="R178" s="162" t="s">
        <v>295</v>
      </c>
      <c r="S178" s="160" t="s">
        <v>840</v>
      </c>
      <c r="T178" s="159" t="s">
        <v>261</v>
      </c>
    </row>
    <row r="179" spans="1:20" ht="63" customHeight="1" x14ac:dyDescent="0.5">
      <c r="A179" s="156" t="s">
        <v>87</v>
      </c>
      <c r="B179" s="156"/>
      <c r="C179" s="155" t="s">
        <v>535</v>
      </c>
      <c r="D179" s="156" t="s">
        <v>282</v>
      </c>
      <c r="E179" s="156" t="s">
        <v>277</v>
      </c>
      <c r="F179" s="156" t="s">
        <v>1069</v>
      </c>
      <c r="G179" s="156" t="s">
        <v>826</v>
      </c>
      <c r="H179" s="156" t="s">
        <v>81</v>
      </c>
      <c r="I179" s="156" t="s">
        <v>492</v>
      </c>
      <c r="J179" s="156" t="s">
        <v>1005</v>
      </c>
      <c r="K179" s="157">
        <v>5</v>
      </c>
      <c r="L179" s="156" t="s">
        <v>1000</v>
      </c>
      <c r="M179" s="156" t="s">
        <v>826</v>
      </c>
      <c r="N179" s="156" t="s">
        <v>1067</v>
      </c>
      <c r="O179" s="156" t="s">
        <v>1058</v>
      </c>
      <c r="P179" s="156" t="s">
        <v>1063</v>
      </c>
      <c r="Q179" s="156"/>
      <c r="R179" s="158" t="s">
        <v>295</v>
      </c>
      <c r="S179" s="156"/>
      <c r="T179" s="155" t="s">
        <v>261</v>
      </c>
    </row>
    <row r="180" spans="1:20" ht="31.5" customHeight="1" x14ac:dyDescent="0.5">
      <c r="A180" s="160" t="s">
        <v>87</v>
      </c>
      <c r="B180" s="160"/>
      <c r="C180" s="159" t="s">
        <v>537</v>
      </c>
      <c r="D180" s="160" t="s">
        <v>282</v>
      </c>
      <c r="E180" s="160" t="s">
        <v>277</v>
      </c>
      <c r="F180" s="160" t="s">
        <v>1070</v>
      </c>
      <c r="G180" s="160" t="s">
        <v>826</v>
      </c>
      <c r="H180" s="160" t="s">
        <v>81</v>
      </c>
      <c r="I180" s="160" t="s">
        <v>536</v>
      </c>
      <c r="J180" s="160" t="s">
        <v>1005</v>
      </c>
      <c r="K180" s="161">
        <v>6</v>
      </c>
      <c r="L180" s="160" t="s">
        <v>917</v>
      </c>
      <c r="M180" s="160" t="s">
        <v>826</v>
      </c>
      <c r="N180" s="160" t="s">
        <v>1058</v>
      </c>
      <c r="O180" s="160" t="s">
        <v>1052</v>
      </c>
      <c r="P180" s="160" t="s">
        <v>1031</v>
      </c>
      <c r="Q180" s="160"/>
      <c r="R180" s="162" t="s">
        <v>295</v>
      </c>
      <c r="S180" s="160" t="s">
        <v>840</v>
      </c>
      <c r="T180" s="159" t="s">
        <v>261</v>
      </c>
    </row>
    <row r="181" spans="1:20" ht="42" customHeight="1" x14ac:dyDescent="0.5">
      <c r="A181" s="156" t="s">
        <v>87</v>
      </c>
      <c r="B181" s="156"/>
      <c r="C181" s="155" t="s">
        <v>539</v>
      </c>
      <c r="D181" s="156" t="s">
        <v>282</v>
      </c>
      <c r="E181" s="156" t="s">
        <v>277</v>
      </c>
      <c r="F181" s="156" t="s">
        <v>1070</v>
      </c>
      <c r="G181" s="156" t="s">
        <v>826</v>
      </c>
      <c r="H181" s="156" t="s">
        <v>81</v>
      </c>
      <c r="I181" s="156" t="s">
        <v>538</v>
      </c>
      <c r="J181" s="156" t="s">
        <v>1005</v>
      </c>
      <c r="K181" s="157">
        <v>4</v>
      </c>
      <c r="L181" s="156" t="s">
        <v>932</v>
      </c>
      <c r="M181" s="156" t="s">
        <v>826</v>
      </c>
      <c r="N181" s="156" t="s">
        <v>1063</v>
      </c>
      <c r="O181" s="156" t="s">
        <v>1063</v>
      </c>
      <c r="P181" s="156" t="s">
        <v>1063</v>
      </c>
      <c r="Q181" s="156"/>
      <c r="R181" s="158" t="s">
        <v>295</v>
      </c>
      <c r="S181" s="156" t="s">
        <v>840</v>
      </c>
      <c r="T181" s="155" t="s">
        <v>261</v>
      </c>
    </row>
    <row r="182" spans="1:20" ht="52.5" customHeight="1" x14ac:dyDescent="0.5">
      <c r="A182" s="160" t="s">
        <v>87</v>
      </c>
      <c r="B182" s="160"/>
      <c r="C182" s="159" t="s">
        <v>541</v>
      </c>
      <c r="D182" s="160" t="s">
        <v>282</v>
      </c>
      <c r="E182" s="160" t="s">
        <v>277</v>
      </c>
      <c r="F182" s="160" t="s">
        <v>1070</v>
      </c>
      <c r="G182" s="160" t="s">
        <v>826</v>
      </c>
      <c r="H182" s="160" t="s">
        <v>81</v>
      </c>
      <c r="I182" s="160" t="s">
        <v>540</v>
      </c>
      <c r="J182" s="160" t="s">
        <v>1005</v>
      </c>
      <c r="K182" s="161">
        <v>4</v>
      </c>
      <c r="L182" s="160" t="s">
        <v>932</v>
      </c>
      <c r="M182" s="160" t="s">
        <v>826</v>
      </c>
      <c r="N182" s="160" t="s">
        <v>1063</v>
      </c>
      <c r="O182" s="160" t="s">
        <v>1063</v>
      </c>
      <c r="P182" s="160" t="s">
        <v>1063</v>
      </c>
      <c r="Q182" s="160"/>
      <c r="R182" s="162" t="s">
        <v>278</v>
      </c>
      <c r="S182" s="160" t="s">
        <v>840</v>
      </c>
      <c r="T182" s="159" t="s">
        <v>261</v>
      </c>
    </row>
    <row r="183" spans="1:20" ht="31.5" customHeight="1" x14ac:dyDescent="0.5">
      <c r="A183" s="156" t="s">
        <v>87</v>
      </c>
      <c r="B183" s="156"/>
      <c r="C183" s="155" t="s">
        <v>542</v>
      </c>
      <c r="D183" s="156" t="s">
        <v>282</v>
      </c>
      <c r="E183" s="156" t="s">
        <v>277</v>
      </c>
      <c r="F183" s="156" t="s">
        <v>1070</v>
      </c>
      <c r="G183" s="156" t="s">
        <v>831</v>
      </c>
      <c r="H183" s="156" t="s">
        <v>81</v>
      </c>
      <c r="I183" s="156" t="s">
        <v>392</v>
      </c>
      <c r="J183" s="156" t="s">
        <v>810</v>
      </c>
      <c r="K183" s="157">
        <v>12</v>
      </c>
      <c r="L183" s="156" t="s">
        <v>897</v>
      </c>
      <c r="M183" s="156" t="s">
        <v>834</v>
      </c>
      <c r="N183" s="156" t="s">
        <v>888</v>
      </c>
      <c r="O183" s="156" t="s">
        <v>1069</v>
      </c>
      <c r="P183" s="156" t="s">
        <v>888</v>
      </c>
      <c r="Q183" s="156"/>
      <c r="R183" s="158"/>
      <c r="S183" s="156"/>
      <c r="T183" s="155" t="s">
        <v>261</v>
      </c>
    </row>
    <row r="184" spans="1:20" ht="42" customHeight="1" x14ac:dyDescent="0.5">
      <c r="A184" s="160" t="s">
        <v>87</v>
      </c>
      <c r="B184" s="160"/>
      <c r="C184" s="159" t="s">
        <v>1071</v>
      </c>
      <c r="D184" s="160" t="s">
        <v>282</v>
      </c>
      <c r="E184" s="160" t="s">
        <v>820</v>
      </c>
      <c r="F184" s="160" t="s">
        <v>1072</v>
      </c>
      <c r="G184" s="160" t="s">
        <v>891</v>
      </c>
      <c r="H184" s="160" t="s">
        <v>81</v>
      </c>
      <c r="I184" s="160" t="s">
        <v>244</v>
      </c>
      <c r="J184" s="160" t="s">
        <v>1005</v>
      </c>
      <c r="K184" s="161">
        <v>160</v>
      </c>
      <c r="L184" s="160"/>
      <c r="M184" s="160"/>
      <c r="N184" s="160"/>
      <c r="O184" s="160"/>
      <c r="P184" s="160"/>
      <c r="Q184" s="160"/>
      <c r="R184" s="162"/>
      <c r="S184" s="160"/>
      <c r="T184" s="159" t="s">
        <v>261</v>
      </c>
    </row>
    <row r="185" spans="1:20" ht="42" customHeight="1" x14ac:dyDescent="0.5">
      <c r="A185" s="156" t="s">
        <v>87</v>
      </c>
      <c r="B185" s="156"/>
      <c r="C185" s="155" t="s">
        <v>544</v>
      </c>
      <c r="D185" s="156" t="s">
        <v>282</v>
      </c>
      <c r="E185" s="156" t="s">
        <v>277</v>
      </c>
      <c r="F185" s="156" t="s">
        <v>1072</v>
      </c>
      <c r="G185" s="156" t="s">
        <v>826</v>
      </c>
      <c r="H185" s="156" t="s">
        <v>81</v>
      </c>
      <c r="I185" s="156" t="s">
        <v>543</v>
      </c>
      <c r="J185" s="156" t="s">
        <v>110</v>
      </c>
      <c r="K185" s="157">
        <v>2</v>
      </c>
      <c r="L185" s="156" t="s">
        <v>1073</v>
      </c>
      <c r="M185" s="156" t="s">
        <v>826</v>
      </c>
      <c r="N185" s="156" t="s">
        <v>1069</v>
      </c>
      <c r="O185" s="156" t="s">
        <v>1058</v>
      </c>
      <c r="P185" s="156" t="s">
        <v>1006</v>
      </c>
      <c r="Q185" s="156"/>
      <c r="R185" s="158" t="s">
        <v>278</v>
      </c>
      <c r="S185" s="156"/>
      <c r="T185" s="155" t="s">
        <v>261</v>
      </c>
    </row>
    <row r="186" spans="1:20" ht="31.5" customHeight="1" x14ac:dyDescent="0.5">
      <c r="A186" s="160" t="s">
        <v>87</v>
      </c>
      <c r="B186" s="160"/>
      <c r="C186" s="159" t="s">
        <v>546</v>
      </c>
      <c r="D186" s="160" t="s">
        <v>282</v>
      </c>
      <c r="E186" s="160" t="s">
        <v>277</v>
      </c>
      <c r="F186" s="160" t="s">
        <v>1072</v>
      </c>
      <c r="G186" s="160" t="s">
        <v>826</v>
      </c>
      <c r="H186" s="160" t="s">
        <v>81</v>
      </c>
      <c r="I186" s="160" t="s">
        <v>545</v>
      </c>
      <c r="J186" s="160" t="s">
        <v>110</v>
      </c>
      <c r="K186" s="161">
        <v>2</v>
      </c>
      <c r="L186" s="160" t="s">
        <v>1073</v>
      </c>
      <c r="M186" s="160" t="s">
        <v>826</v>
      </c>
      <c r="N186" s="160" t="s">
        <v>1069</v>
      </c>
      <c r="O186" s="160" t="s">
        <v>1058</v>
      </c>
      <c r="P186" s="160" t="s">
        <v>1004</v>
      </c>
      <c r="Q186" s="160"/>
      <c r="R186" s="162" t="s">
        <v>295</v>
      </c>
      <c r="S186" s="160"/>
      <c r="T186" s="159" t="s">
        <v>261</v>
      </c>
    </row>
    <row r="187" spans="1:20" ht="31.5" customHeight="1" x14ac:dyDescent="0.5">
      <c r="A187" s="156" t="s">
        <v>453</v>
      </c>
      <c r="B187" s="156"/>
      <c r="C187" s="155" t="s">
        <v>547</v>
      </c>
      <c r="D187" s="156" t="s">
        <v>282</v>
      </c>
      <c r="E187" s="156" t="s">
        <v>277</v>
      </c>
      <c r="F187" s="156" t="s">
        <v>1072</v>
      </c>
      <c r="G187" s="156" t="s">
        <v>826</v>
      </c>
      <c r="H187" s="156" t="s">
        <v>81</v>
      </c>
      <c r="I187" s="156" t="s">
        <v>297</v>
      </c>
      <c r="J187" s="156" t="s">
        <v>110</v>
      </c>
      <c r="K187" s="157">
        <v>4</v>
      </c>
      <c r="L187" s="156" t="s">
        <v>917</v>
      </c>
      <c r="M187" s="156" t="s">
        <v>826</v>
      </c>
      <c r="N187" s="156" t="s">
        <v>1070</v>
      </c>
      <c r="O187" s="156" t="s">
        <v>1067</v>
      </c>
      <c r="P187" s="156" t="s">
        <v>1031</v>
      </c>
      <c r="Q187" s="156"/>
      <c r="R187" s="158"/>
      <c r="S187" s="156"/>
      <c r="T187" s="155" t="s">
        <v>261</v>
      </c>
    </row>
    <row r="188" spans="1:20" ht="31.5" customHeight="1" x14ac:dyDescent="0.5">
      <c r="A188" s="160" t="s">
        <v>453</v>
      </c>
      <c r="B188" s="160"/>
      <c r="C188" s="159" t="s">
        <v>1074</v>
      </c>
      <c r="D188" s="160" t="s">
        <v>282</v>
      </c>
      <c r="E188" s="160" t="s">
        <v>820</v>
      </c>
      <c r="F188" s="160" t="s">
        <v>1072</v>
      </c>
      <c r="G188" s="160" t="s">
        <v>826</v>
      </c>
      <c r="H188" s="160" t="s">
        <v>81</v>
      </c>
      <c r="I188" s="160" t="s">
        <v>297</v>
      </c>
      <c r="J188" s="160" t="s">
        <v>110</v>
      </c>
      <c r="K188" s="161">
        <v>4</v>
      </c>
      <c r="L188" s="160"/>
      <c r="M188" s="160"/>
      <c r="N188" s="160"/>
      <c r="O188" s="160"/>
      <c r="P188" s="160"/>
      <c r="Q188" s="160"/>
      <c r="R188" s="162"/>
      <c r="S188" s="160"/>
      <c r="T188" s="159" t="s">
        <v>261</v>
      </c>
    </row>
    <row r="189" spans="1:20" ht="31.5" customHeight="1" x14ac:dyDescent="0.5">
      <c r="A189" s="156" t="s">
        <v>453</v>
      </c>
      <c r="B189" s="156"/>
      <c r="C189" s="155" t="s">
        <v>1075</v>
      </c>
      <c r="D189" s="156" t="s">
        <v>282</v>
      </c>
      <c r="E189" s="156" t="s">
        <v>820</v>
      </c>
      <c r="F189" s="156" t="s">
        <v>1072</v>
      </c>
      <c r="G189" s="156" t="s">
        <v>826</v>
      </c>
      <c r="H189" s="156" t="s">
        <v>81</v>
      </c>
      <c r="I189" s="156" t="s">
        <v>297</v>
      </c>
      <c r="J189" s="156" t="s">
        <v>110</v>
      </c>
      <c r="K189" s="157">
        <v>4</v>
      </c>
      <c r="L189" s="156"/>
      <c r="M189" s="156"/>
      <c r="N189" s="156"/>
      <c r="O189" s="156"/>
      <c r="P189" s="156"/>
      <c r="Q189" s="156"/>
      <c r="R189" s="158"/>
      <c r="S189" s="156"/>
      <c r="T189" s="155" t="s">
        <v>261</v>
      </c>
    </row>
    <row r="190" spans="1:20" ht="52.5" customHeight="1" x14ac:dyDescent="0.5">
      <c r="A190" s="160" t="s">
        <v>87</v>
      </c>
      <c r="B190" s="160"/>
      <c r="C190" s="159" t="s">
        <v>549</v>
      </c>
      <c r="D190" s="160" t="s">
        <v>282</v>
      </c>
      <c r="E190" s="160" t="s">
        <v>277</v>
      </c>
      <c r="F190" s="160" t="s">
        <v>1076</v>
      </c>
      <c r="G190" s="160" t="s">
        <v>826</v>
      </c>
      <c r="H190" s="160" t="s">
        <v>1077</v>
      </c>
      <c r="I190" s="160" t="s">
        <v>548</v>
      </c>
      <c r="J190" s="160" t="s">
        <v>110</v>
      </c>
      <c r="K190" s="161">
        <v>4</v>
      </c>
      <c r="L190" s="160" t="s">
        <v>816</v>
      </c>
      <c r="M190" s="160" t="s">
        <v>826</v>
      </c>
      <c r="N190" s="160" t="s">
        <v>1055</v>
      </c>
      <c r="O190" s="160" t="s">
        <v>1078</v>
      </c>
      <c r="P190" s="160" t="s">
        <v>1006</v>
      </c>
      <c r="Q190" s="160"/>
      <c r="R190" s="162" t="s">
        <v>295</v>
      </c>
      <c r="S190" s="160" t="s">
        <v>840</v>
      </c>
      <c r="T190" s="159" t="s">
        <v>261</v>
      </c>
    </row>
    <row r="191" spans="1:20" ht="31.5" customHeight="1" x14ac:dyDescent="0.5">
      <c r="A191" s="156" t="s">
        <v>87</v>
      </c>
      <c r="B191" s="156"/>
      <c r="C191" s="155" t="s">
        <v>550</v>
      </c>
      <c r="D191" s="156" t="s">
        <v>282</v>
      </c>
      <c r="E191" s="156" t="s">
        <v>277</v>
      </c>
      <c r="F191" s="156" t="s">
        <v>1076</v>
      </c>
      <c r="G191" s="156" t="s">
        <v>826</v>
      </c>
      <c r="H191" s="156" t="s">
        <v>1077</v>
      </c>
      <c r="I191" s="156" t="s">
        <v>284</v>
      </c>
      <c r="J191" s="156" t="s">
        <v>110</v>
      </c>
      <c r="K191" s="157">
        <v>4</v>
      </c>
      <c r="L191" s="156" t="s">
        <v>917</v>
      </c>
      <c r="M191" s="156" t="s">
        <v>826</v>
      </c>
      <c r="N191" s="156" t="s">
        <v>1078</v>
      </c>
      <c r="O191" s="156" t="s">
        <v>1067</v>
      </c>
      <c r="P191" s="156" t="s">
        <v>1031</v>
      </c>
      <c r="Q191" s="156"/>
      <c r="R191" s="158" t="s">
        <v>93</v>
      </c>
      <c r="S191" s="156"/>
      <c r="T191" s="155" t="s">
        <v>261</v>
      </c>
    </row>
    <row r="192" spans="1:20" ht="52.5" customHeight="1" x14ac:dyDescent="0.5">
      <c r="A192" s="160" t="s">
        <v>87</v>
      </c>
      <c r="B192" s="160"/>
      <c r="C192" s="159" t="s">
        <v>552</v>
      </c>
      <c r="D192" s="160" t="s">
        <v>282</v>
      </c>
      <c r="E192" s="160" t="s">
        <v>277</v>
      </c>
      <c r="F192" s="160" t="s">
        <v>1076</v>
      </c>
      <c r="G192" s="160" t="s">
        <v>826</v>
      </c>
      <c r="H192" s="160" t="s">
        <v>1077</v>
      </c>
      <c r="I192" s="160" t="s">
        <v>471</v>
      </c>
      <c r="J192" s="160" t="s">
        <v>110</v>
      </c>
      <c r="K192" s="161">
        <v>2</v>
      </c>
      <c r="L192" s="160" t="s">
        <v>916</v>
      </c>
      <c r="M192" s="160" t="s">
        <v>826</v>
      </c>
      <c r="N192" s="160" t="s">
        <v>1079</v>
      </c>
      <c r="O192" s="160" t="s">
        <v>1078</v>
      </c>
      <c r="P192" s="160" t="s">
        <v>1004</v>
      </c>
      <c r="Q192" s="160"/>
      <c r="R192" s="162" t="s">
        <v>278</v>
      </c>
      <c r="S192" s="160"/>
      <c r="T192" s="159" t="s">
        <v>261</v>
      </c>
    </row>
    <row r="193" spans="1:20" ht="42" customHeight="1" x14ac:dyDescent="0.5">
      <c r="A193" s="156" t="s">
        <v>553</v>
      </c>
      <c r="B193" s="156"/>
      <c r="C193" s="155" t="s">
        <v>554</v>
      </c>
      <c r="D193" s="156" t="s">
        <v>282</v>
      </c>
      <c r="E193" s="156" t="s">
        <v>277</v>
      </c>
      <c r="F193" s="156" t="s">
        <v>1076</v>
      </c>
      <c r="G193" s="156" t="s">
        <v>1044</v>
      </c>
      <c r="H193" s="156" t="s">
        <v>81</v>
      </c>
      <c r="I193" s="156" t="s">
        <v>352</v>
      </c>
      <c r="J193" s="156" t="s">
        <v>1045</v>
      </c>
      <c r="K193" s="157">
        <v>100</v>
      </c>
      <c r="L193" s="156" t="s">
        <v>847</v>
      </c>
      <c r="M193" s="156" t="s">
        <v>826</v>
      </c>
      <c r="N193" s="156" t="s">
        <v>1079</v>
      </c>
      <c r="O193" s="156" t="s">
        <v>1079</v>
      </c>
      <c r="P193" s="156" t="s">
        <v>1004</v>
      </c>
      <c r="Q193" s="156"/>
      <c r="R193" s="158" t="s">
        <v>93</v>
      </c>
      <c r="S193" s="156"/>
      <c r="T193" s="155" t="s">
        <v>261</v>
      </c>
    </row>
    <row r="194" spans="1:20" ht="31.5" customHeight="1" x14ac:dyDescent="0.5">
      <c r="A194" s="160" t="s">
        <v>87</v>
      </c>
      <c r="B194" s="160"/>
      <c r="C194" s="159" t="s">
        <v>556</v>
      </c>
      <c r="D194" s="160" t="s">
        <v>282</v>
      </c>
      <c r="E194" s="160" t="s">
        <v>277</v>
      </c>
      <c r="F194" s="160" t="s">
        <v>1080</v>
      </c>
      <c r="G194" s="160" t="s">
        <v>826</v>
      </c>
      <c r="H194" s="160" t="s">
        <v>81</v>
      </c>
      <c r="I194" s="160" t="s">
        <v>545</v>
      </c>
      <c r="J194" s="160" t="s">
        <v>110</v>
      </c>
      <c r="K194" s="161">
        <v>2</v>
      </c>
      <c r="L194" s="160" t="s">
        <v>1073</v>
      </c>
      <c r="M194" s="160" t="s">
        <v>826</v>
      </c>
      <c r="N194" s="160" t="s">
        <v>1072</v>
      </c>
      <c r="O194" s="160" t="s">
        <v>1079</v>
      </c>
      <c r="P194" s="160" t="s">
        <v>1004</v>
      </c>
      <c r="Q194" s="160"/>
      <c r="R194" s="162" t="s">
        <v>278</v>
      </c>
      <c r="S194" s="160"/>
      <c r="T194" s="159" t="s">
        <v>261</v>
      </c>
    </row>
    <row r="195" spans="1:20" ht="42" customHeight="1" x14ac:dyDescent="0.5">
      <c r="A195" s="156"/>
      <c r="B195" s="156"/>
      <c r="C195" s="155" t="s">
        <v>559</v>
      </c>
      <c r="D195" s="156" t="s">
        <v>282</v>
      </c>
      <c r="E195" s="156" t="s">
        <v>277</v>
      </c>
      <c r="F195" s="156" t="s">
        <v>1080</v>
      </c>
      <c r="G195" s="156" t="s">
        <v>826</v>
      </c>
      <c r="H195" s="156" t="s">
        <v>81</v>
      </c>
      <c r="I195" s="156" t="s">
        <v>558</v>
      </c>
      <c r="J195" s="156" t="s">
        <v>110</v>
      </c>
      <c r="K195" s="157">
        <v>5</v>
      </c>
      <c r="L195" s="156" t="s">
        <v>816</v>
      </c>
      <c r="M195" s="156" t="s">
        <v>826</v>
      </c>
      <c r="N195" s="156" t="s">
        <v>1076</v>
      </c>
      <c r="O195" s="156" t="s">
        <v>1079</v>
      </c>
      <c r="P195" s="156" t="s">
        <v>1004</v>
      </c>
      <c r="Q195" s="156"/>
      <c r="R195" s="158" t="s">
        <v>93</v>
      </c>
      <c r="S195" s="156"/>
      <c r="T195" s="155" t="s">
        <v>261</v>
      </c>
    </row>
    <row r="196" spans="1:20" ht="31.5" customHeight="1" x14ac:dyDescent="0.5">
      <c r="A196" s="160" t="s">
        <v>87</v>
      </c>
      <c r="B196" s="160"/>
      <c r="C196" s="159" t="s">
        <v>562</v>
      </c>
      <c r="D196" s="160" t="s">
        <v>282</v>
      </c>
      <c r="E196" s="160" t="s">
        <v>277</v>
      </c>
      <c r="F196" s="160" t="s">
        <v>1080</v>
      </c>
      <c r="G196" s="160" t="s">
        <v>826</v>
      </c>
      <c r="H196" s="160" t="s">
        <v>81</v>
      </c>
      <c r="I196" s="160" t="s">
        <v>561</v>
      </c>
      <c r="J196" s="160" t="s">
        <v>110</v>
      </c>
      <c r="K196" s="161">
        <v>5</v>
      </c>
      <c r="L196" s="160" t="s">
        <v>1000</v>
      </c>
      <c r="M196" s="160" t="s">
        <v>826</v>
      </c>
      <c r="N196" s="160" t="s">
        <v>1076</v>
      </c>
      <c r="O196" s="160" t="s">
        <v>1079</v>
      </c>
      <c r="P196" s="160" t="s">
        <v>1004</v>
      </c>
      <c r="Q196" s="160"/>
      <c r="R196" s="162" t="s">
        <v>93</v>
      </c>
      <c r="S196" s="160"/>
      <c r="T196" s="159" t="s">
        <v>261</v>
      </c>
    </row>
    <row r="197" spans="1:20" ht="52.5" customHeight="1" x14ac:dyDescent="0.5">
      <c r="A197" s="156" t="s">
        <v>87</v>
      </c>
      <c r="B197" s="156"/>
      <c r="C197" s="155" t="s">
        <v>565</v>
      </c>
      <c r="D197" s="156" t="s">
        <v>282</v>
      </c>
      <c r="E197" s="156" t="s">
        <v>277</v>
      </c>
      <c r="F197" s="156" t="s">
        <v>1080</v>
      </c>
      <c r="G197" s="156" t="s">
        <v>826</v>
      </c>
      <c r="H197" s="156" t="s">
        <v>81</v>
      </c>
      <c r="I197" s="156" t="s">
        <v>564</v>
      </c>
      <c r="J197" s="156" t="s">
        <v>110</v>
      </c>
      <c r="K197" s="157">
        <v>5</v>
      </c>
      <c r="L197" s="156" t="s">
        <v>816</v>
      </c>
      <c r="M197" s="156" t="s">
        <v>826</v>
      </c>
      <c r="N197" s="156" t="s">
        <v>1076</v>
      </c>
      <c r="O197" s="156" t="s">
        <v>1079</v>
      </c>
      <c r="P197" s="156" t="s">
        <v>1004</v>
      </c>
      <c r="Q197" s="156"/>
      <c r="R197" s="158" t="s">
        <v>93</v>
      </c>
      <c r="S197" s="156"/>
      <c r="T197" s="155" t="s">
        <v>261</v>
      </c>
    </row>
    <row r="198" spans="1:20" ht="42" customHeight="1" x14ac:dyDescent="0.5">
      <c r="A198" s="160" t="s">
        <v>87</v>
      </c>
      <c r="B198" s="160"/>
      <c r="C198" s="159" t="s">
        <v>567</v>
      </c>
      <c r="D198" s="160" t="s">
        <v>282</v>
      </c>
      <c r="E198" s="160" t="s">
        <v>277</v>
      </c>
      <c r="F198" s="160" t="s">
        <v>1080</v>
      </c>
      <c r="G198" s="160" t="s">
        <v>826</v>
      </c>
      <c r="H198" s="160" t="s">
        <v>81</v>
      </c>
      <c r="I198" s="160" t="s">
        <v>566</v>
      </c>
      <c r="J198" s="160" t="s">
        <v>110</v>
      </c>
      <c r="K198" s="161">
        <v>5</v>
      </c>
      <c r="L198" s="160" t="s">
        <v>816</v>
      </c>
      <c r="M198" s="160" t="s">
        <v>826</v>
      </c>
      <c r="N198" s="160" t="s">
        <v>1076</v>
      </c>
      <c r="O198" s="160" t="s">
        <v>1079</v>
      </c>
      <c r="P198" s="160" t="s">
        <v>1004</v>
      </c>
      <c r="Q198" s="160"/>
      <c r="R198" s="162" t="s">
        <v>295</v>
      </c>
      <c r="S198" s="160"/>
      <c r="T198" s="159" t="s">
        <v>261</v>
      </c>
    </row>
    <row r="199" spans="1:20" ht="31.5" customHeight="1" x14ac:dyDescent="0.5">
      <c r="A199" s="156" t="s">
        <v>87</v>
      </c>
      <c r="B199" s="156"/>
      <c r="C199" s="155" t="s">
        <v>568</v>
      </c>
      <c r="D199" s="156" t="s">
        <v>282</v>
      </c>
      <c r="E199" s="156" t="s">
        <v>277</v>
      </c>
      <c r="F199" s="156" t="s">
        <v>1080</v>
      </c>
      <c r="G199" s="156" t="s">
        <v>826</v>
      </c>
      <c r="H199" s="156" t="s">
        <v>81</v>
      </c>
      <c r="I199" s="156" t="s">
        <v>284</v>
      </c>
      <c r="J199" s="156" t="s">
        <v>110</v>
      </c>
      <c r="K199" s="157">
        <v>4</v>
      </c>
      <c r="L199" s="156" t="s">
        <v>917</v>
      </c>
      <c r="M199" s="156" t="s">
        <v>826</v>
      </c>
      <c r="N199" s="156" t="s">
        <v>1076</v>
      </c>
      <c r="O199" s="156" t="s">
        <v>1067</v>
      </c>
      <c r="P199" s="156" t="s">
        <v>1031</v>
      </c>
      <c r="Q199" s="156"/>
      <c r="R199" s="158" t="s">
        <v>93</v>
      </c>
      <c r="S199" s="156"/>
      <c r="T199" s="155" t="s">
        <v>261</v>
      </c>
    </row>
    <row r="200" spans="1:20" ht="31.5" customHeight="1" x14ac:dyDescent="0.5">
      <c r="A200" s="160" t="s">
        <v>359</v>
      </c>
      <c r="B200" s="160"/>
      <c r="C200" s="159" t="s">
        <v>569</v>
      </c>
      <c r="D200" s="160" t="s">
        <v>288</v>
      </c>
      <c r="E200" s="160" t="s">
        <v>277</v>
      </c>
      <c r="F200" s="160" t="s">
        <v>1080</v>
      </c>
      <c r="G200" s="160" t="s">
        <v>938</v>
      </c>
      <c r="H200" s="160" t="s">
        <v>81</v>
      </c>
      <c r="I200" s="160" t="s">
        <v>248</v>
      </c>
      <c r="J200" s="160" t="s">
        <v>110</v>
      </c>
      <c r="K200" s="161">
        <v>5</v>
      </c>
      <c r="L200" s="160" t="s">
        <v>842</v>
      </c>
      <c r="M200" s="160" t="s">
        <v>826</v>
      </c>
      <c r="N200" s="160" t="s">
        <v>1059</v>
      </c>
      <c r="O200" s="160" t="s">
        <v>1055</v>
      </c>
      <c r="P200" s="160" t="s">
        <v>999</v>
      </c>
      <c r="Q200" s="160"/>
      <c r="R200" s="162" t="s">
        <v>93</v>
      </c>
      <c r="S200" s="160"/>
      <c r="T200" s="159" t="s">
        <v>261</v>
      </c>
    </row>
    <row r="201" spans="1:20" ht="31.5" customHeight="1" x14ac:dyDescent="0.5">
      <c r="A201" s="156" t="s">
        <v>87</v>
      </c>
      <c r="B201" s="156"/>
      <c r="C201" s="155" t="s">
        <v>570</v>
      </c>
      <c r="D201" s="156" t="s">
        <v>282</v>
      </c>
      <c r="E201" s="156" t="s">
        <v>277</v>
      </c>
      <c r="F201" s="156" t="s">
        <v>1081</v>
      </c>
      <c r="G201" s="156" t="s">
        <v>831</v>
      </c>
      <c r="H201" s="156" t="s">
        <v>81</v>
      </c>
      <c r="I201" s="156" t="s">
        <v>317</v>
      </c>
      <c r="J201" s="156" t="s">
        <v>810</v>
      </c>
      <c r="K201" s="157">
        <v>3</v>
      </c>
      <c r="L201" s="156" t="s">
        <v>897</v>
      </c>
      <c r="M201" s="156" t="s">
        <v>834</v>
      </c>
      <c r="N201" s="156" t="s">
        <v>888</v>
      </c>
      <c r="O201" s="156" t="s">
        <v>1080</v>
      </c>
      <c r="P201" s="156" t="s">
        <v>888</v>
      </c>
      <c r="Q201" s="156"/>
      <c r="R201" s="158"/>
      <c r="S201" s="156"/>
      <c r="T201" s="155" t="s">
        <v>261</v>
      </c>
    </row>
    <row r="202" spans="1:20" ht="31.5" customHeight="1" x14ac:dyDescent="0.5">
      <c r="A202" s="160" t="s">
        <v>87</v>
      </c>
      <c r="B202" s="160"/>
      <c r="C202" s="159" t="s">
        <v>571</v>
      </c>
      <c r="D202" s="160" t="s">
        <v>282</v>
      </c>
      <c r="E202" s="160" t="s">
        <v>277</v>
      </c>
      <c r="F202" s="160" t="s">
        <v>1082</v>
      </c>
      <c r="G202" s="160" t="s">
        <v>831</v>
      </c>
      <c r="H202" s="160" t="s">
        <v>81</v>
      </c>
      <c r="I202" s="160" t="s">
        <v>392</v>
      </c>
      <c r="J202" s="160" t="s">
        <v>810</v>
      </c>
      <c r="K202" s="161">
        <v>10</v>
      </c>
      <c r="L202" s="160" t="s">
        <v>1002</v>
      </c>
      <c r="M202" s="160" t="s">
        <v>834</v>
      </c>
      <c r="N202" s="160" t="s">
        <v>888</v>
      </c>
      <c r="O202" s="160" t="s">
        <v>1080</v>
      </c>
      <c r="P202" s="160" t="s">
        <v>888</v>
      </c>
      <c r="Q202" s="160"/>
      <c r="R202" s="162"/>
      <c r="S202" s="160"/>
      <c r="T202" s="159" t="s">
        <v>261</v>
      </c>
    </row>
    <row r="203" spans="1:20" ht="31.5" customHeight="1" x14ac:dyDescent="0.5">
      <c r="A203" s="156" t="s">
        <v>453</v>
      </c>
      <c r="B203" s="156"/>
      <c r="C203" s="155" t="s">
        <v>572</v>
      </c>
      <c r="D203" s="156" t="s">
        <v>282</v>
      </c>
      <c r="E203" s="156" t="s">
        <v>277</v>
      </c>
      <c r="F203" s="156" t="s">
        <v>1083</v>
      </c>
      <c r="G203" s="156" t="s">
        <v>831</v>
      </c>
      <c r="H203" s="156" t="s">
        <v>81</v>
      </c>
      <c r="I203" s="156" t="s">
        <v>303</v>
      </c>
      <c r="J203" s="156" t="s">
        <v>859</v>
      </c>
      <c r="K203" s="157">
        <v>4</v>
      </c>
      <c r="L203" s="156" t="s">
        <v>1084</v>
      </c>
      <c r="M203" s="156" t="s">
        <v>812</v>
      </c>
      <c r="N203" s="156" t="s">
        <v>887</v>
      </c>
      <c r="O203" s="156" t="s">
        <v>881</v>
      </c>
      <c r="P203" s="156" t="s">
        <v>881</v>
      </c>
      <c r="Q203" s="156"/>
      <c r="R203" s="158"/>
      <c r="S203" s="156"/>
      <c r="T203" s="155" t="s">
        <v>261</v>
      </c>
    </row>
    <row r="204" spans="1:20" ht="42" customHeight="1" x14ac:dyDescent="0.5">
      <c r="A204" s="160" t="s">
        <v>453</v>
      </c>
      <c r="B204" s="160"/>
      <c r="C204" s="159" t="s">
        <v>1085</v>
      </c>
      <c r="D204" s="160" t="s">
        <v>282</v>
      </c>
      <c r="E204" s="160" t="s">
        <v>820</v>
      </c>
      <c r="F204" s="160" t="s">
        <v>1086</v>
      </c>
      <c r="G204" s="160" t="s">
        <v>1044</v>
      </c>
      <c r="H204" s="160" t="s">
        <v>81</v>
      </c>
      <c r="I204" s="160" t="s">
        <v>352</v>
      </c>
      <c r="J204" s="160" t="s">
        <v>1045</v>
      </c>
      <c r="K204" s="161">
        <v>64</v>
      </c>
      <c r="L204" s="160"/>
      <c r="M204" s="160"/>
      <c r="N204" s="160"/>
      <c r="O204" s="160"/>
      <c r="P204" s="160"/>
      <c r="Q204" s="160"/>
      <c r="R204" s="162"/>
      <c r="S204" s="160"/>
      <c r="T204" s="159" t="s">
        <v>261</v>
      </c>
    </row>
    <row r="205" spans="1:20" ht="31.5" customHeight="1" x14ac:dyDescent="0.5">
      <c r="A205" s="156" t="s">
        <v>87</v>
      </c>
      <c r="B205" s="156"/>
      <c r="C205" s="155" t="s">
        <v>575</v>
      </c>
      <c r="D205" s="156" t="s">
        <v>282</v>
      </c>
      <c r="E205" s="156" t="s">
        <v>277</v>
      </c>
      <c r="F205" s="156" t="s">
        <v>1087</v>
      </c>
      <c r="G205" s="156" t="s">
        <v>826</v>
      </c>
      <c r="H205" s="156" t="s">
        <v>81</v>
      </c>
      <c r="I205" s="156" t="s">
        <v>284</v>
      </c>
      <c r="J205" s="156" t="s">
        <v>110</v>
      </c>
      <c r="K205" s="157">
        <v>4</v>
      </c>
      <c r="L205" s="156" t="s">
        <v>917</v>
      </c>
      <c r="M205" s="156" t="s">
        <v>826</v>
      </c>
      <c r="N205" s="156" t="s">
        <v>1087</v>
      </c>
      <c r="O205" s="156" t="s">
        <v>1076</v>
      </c>
      <c r="P205" s="156" t="s">
        <v>1031</v>
      </c>
      <c r="Q205" s="156"/>
      <c r="R205" s="158" t="s">
        <v>278</v>
      </c>
      <c r="S205" s="156"/>
      <c r="T205" s="155" t="s">
        <v>261</v>
      </c>
    </row>
    <row r="206" spans="1:20" ht="52.5" customHeight="1" x14ac:dyDescent="0.5">
      <c r="A206" s="160" t="s">
        <v>87</v>
      </c>
      <c r="B206" s="160"/>
      <c r="C206" s="159" t="s">
        <v>578</v>
      </c>
      <c r="D206" s="160" t="s">
        <v>282</v>
      </c>
      <c r="E206" s="160" t="s">
        <v>277</v>
      </c>
      <c r="F206" s="160" t="s">
        <v>1087</v>
      </c>
      <c r="G206" s="160" t="s">
        <v>826</v>
      </c>
      <c r="H206" s="160" t="s">
        <v>81</v>
      </c>
      <c r="I206" s="160" t="s">
        <v>577</v>
      </c>
      <c r="J206" s="160" t="s">
        <v>1005</v>
      </c>
      <c r="K206" s="161">
        <v>4</v>
      </c>
      <c r="L206" s="160" t="s">
        <v>917</v>
      </c>
      <c r="M206" s="160" t="s">
        <v>826</v>
      </c>
      <c r="N206" s="160" t="s">
        <v>1081</v>
      </c>
      <c r="O206" s="160" t="s">
        <v>1081</v>
      </c>
      <c r="P206" s="160" t="s">
        <v>1031</v>
      </c>
      <c r="Q206" s="160"/>
      <c r="R206" s="162" t="s">
        <v>278</v>
      </c>
      <c r="S206" s="160"/>
      <c r="T206" s="159" t="s">
        <v>261</v>
      </c>
    </row>
    <row r="207" spans="1:20" ht="42" customHeight="1" x14ac:dyDescent="0.5">
      <c r="A207" s="156" t="s">
        <v>87</v>
      </c>
      <c r="B207" s="156"/>
      <c r="C207" s="155" t="s">
        <v>580</v>
      </c>
      <c r="D207" s="156" t="s">
        <v>282</v>
      </c>
      <c r="E207" s="156" t="s">
        <v>277</v>
      </c>
      <c r="F207" s="156" t="s">
        <v>1087</v>
      </c>
      <c r="G207" s="156" t="s">
        <v>826</v>
      </c>
      <c r="H207" s="156" t="s">
        <v>81</v>
      </c>
      <c r="I207" s="156" t="s">
        <v>579</v>
      </c>
      <c r="J207" s="156" t="s">
        <v>1005</v>
      </c>
      <c r="K207" s="157">
        <v>4</v>
      </c>
      <c r="L207" s="156" t="s">
        <v>906</v>
      </c>
      <c r="M207" s="156" t="s">
        <v>826</v>
      </c>
      <c r="N207" s="156" t="s">
        <v>1081</v>
      </c>
      <c r="O207" s="156" t="s">
        <v>1080</v>
      </c>
      <c r="P207" s="156" t="s">
        <v>1006</v>
      </c>
      <c r="Q207" s="156"/>
      <c r="R207" s="158" t="s">
        <v>278</v>
      </c>
      <c r="S207" s="156"/>
      <c r="T207" s="155" t="s">
        <v>261</v>
      </c>
    </row>
    <row r="208" spans="1:20" ht="73.5" customHeight="1" x14ac:dyDescent="0.5">
      <c r="A208" s="160" t="s">
        <v>87</v>
      </c>
      <c r="B208" s="160"/>
      <c r="C208" s="159" t="s">
        <v>582</v>
      </c>
      <c r="D208" s="160" t="s">
        <v>282</v>
      </c>
      <c r="E208" s="160" t="s">
        <v>277</v>
      </c>
      <c r="F208" s="160" t="s">
        <v>1087</v>
      </c>
      <c r="G208" s="160" t="s">
        <v>826</v>
      </c>
      <c r="H208" s="160" t="s">
        <v>81</v>
      </c>
      <c r="I208" s="160" t="s">
        <v>581</v>
      </c>
      <c r="J208" s="160" t="s">
        <v>1005</v>
      </c>
      <c r="K208" s="161">
        <v>2</v>
      </c>
      <c r="L208" s="160" t="s">
        <v>983</v>
      </c>
      <c r="M208" s="160" t="s">
        <v>826</v>
      </c>
      <c r="N208" s="160" t="s">
        <v>1082</v>
      </c>
      <c r="O208" s="160" t="s">
        <v>1080</v>
      </c>
      <c r="P208" s="160" t="s">
        <v>1004</v>
      </c>
      <c r="Q208" s="160"/>
      <c r="R208" s="162" t="s">
        <v>278</v>
      </c>
      <c r="S208" s="160"/>
      <c r="T208" s="159" t="s">
        <v>261</v>
      </c>
    </row>
    <row r="209" spans="1:20" ht="52.5" customHeight="1" x14ac:dyDescent="0.5">
      <c r="A209" s="156" t="s">
        <v>87</v>
      </c>
      <c r="B209" s="156"/>
      <c r="C209" s="155" t="s">
        <v>584</v>
      </c>
      <c r="D209" s="156" t="s">
        <v>282</v>
      </c>
      <c r="E209" s="156" t="s">
        <v>277</v>
      </c>
      <c r="F209" s="156" t="s">
        <v>1087</v>
      </c>
      <c r="G209" s="156" t="s">
        <v>826</v>
      </c>
      <c r="H209" s="156" t="s">
        <v>81</v>
      </c>
      <c r="I209" s="156" t="s">
        <v>583</v>
      </c>
      <c r="J209" s="156" t="s">
        <v>1005</v>
      </c>
      <c r="K209" s="157">
        <v>2</v>
      </c>
      <c r="L209" s="156" t="s">
        <v>842</v>
      </c>
      <c r="M209" s="156" t="s">
        <v>826</v>
      </c>
      <c r="N209" s="156" t="s">
        <v>1088</v>
      </c>
      <c r="O209" s="156" t="s">
        <v>1088</v>
      </c>
      <c r="P209" s="156" t="s">
        <v>1004</v>
      </c>
      <c r="Q209" s="156"/>
      <c r="R209" s="158" t="s">
        <v>278</v>
      </c>
      <c r="S209" s="156"/>
      <c r="T209" s="155" t="s">
        <v>261</v>
      </c>
    </row>
    <row r="210" spans="1:20" ht="63" customHeight="1" x14ac:dyDescent="0.5">
      <c r="A210" s="160" t="s">
        <v>87</v>
      </c>
      <c r="B210" s="160"/>
      <c r="C210" s="159" t="s">
        <v>586</v>
      </c>
      <c r="D210" s="160" t="s">
        <v>282</v>
      </c>
      <c r="E210" s="160" t="s">
        <v>277</v>
      </c>
      <c r="F210" s="160" t="s">
        <v>1087</v>
      </c>
      <c r="G210" s="160" t="s">
        <v>826</v>
      </c>
      <c r="H210" s="160" t="s">
        <v>81</v>
      </c>
      <c r="I210" s="160" t="s">
        <v>585</v>
      </c>
      <c r="J210" s="160" t="s">
        <v>1005</v>
      </c>
      <c r="K210" s="161">
        <v>2</v>
      </c>
      <c r="L210" s="160" t="s">
        <v>1073</v>
      </c>
      <c r="M210" s="160" t="s">
        <v>826</v>
      </c>
      <c r="N210" s="160" t="s">
        <v>1083</v>
      </c>
      <c r="O210" s="160" t="s">
        <v>1083</v>
      </c>
      <c r="P210" s="160" t="s">
        <v>1004</v>
      </c>
      <c r="Q210" s="160"/>
      <c r="R210" s="162" t="s">
        <v>278</v>
      </c>
      <c r="S210" s="160"/>
      <c r="T210" s="159" t="s">
        <v>261</v>
      </c>
    </row>
    <row r="211" spans="1:20" ht="31.5" customHeight="1" x14ac:dyDescent="0.5">
      <c r="A211" s="156"/>
      <c r="B211" s="156"/>
      <c r="C211" s="155" t="s">
        <v>588</v>
      </c>
      <c r="D211" s="156" t="s">
        <v>282</v>
      </c>
      <c r="E211" s="156" t="s">
        <v>277</v>
      </c>
      <c r="F211" s="156" t="s">
        <v>1087</v>
      </c>
      <c r="G211" s="156" t="s">
        <v>998</v>
      </c>
      <c r="H211" s="156" t="s">
        <v>81</v>
      </c>
      <c r="I211" s="156" t="s">
        <v>587</v>
      </c>
      <c r="J211" s="156" t="s">
        <v>1005</v>
      </c>
      <c r="K211" s="157">
        <v>1</v>
      </c>
      <c r="L211" s="156" t="s">
        <v>1000</v>
      </c>
      <c r="M211" s="156" t="s">
        <v>826</v>
      </c>
      <c r="N211" s="156" t="s">
        <v>1083</v>
      </c>
      <c r="O211" s="156" t="s">
        <v>1083</v>
      </c>
      <c r="P211" s="156" t="s">
        <v>1004</v>
      </c>
      <c r="Q211" s="156"/>
      <c r="R211" s="158" t="s">
        <v>93</v>
      </c>
      <c r="S211" s="156"/>
      <c r="T211" s="155" t="s">
        <v>261</v>
      </c>
    </row>
    <row r="212" spans="1:20" ht="31.5" customHeight="1" x14ac:dyDescent="0.5">
      <c r="A212" s="160"/>
      <c r="B212" s="160"/>
      <c r="C212" s="159" t="s">
        <v>1089</v>
      </c>
      <c r="D212" s="160" t="s">
        <v>282</v>
      </c>
      <c r="E212" s="160" t="s">
        <v>820</v>
      </c>
      <c r="F212" s="160" t="s">
        <v>1087</v>
      </c>
      <c r="G212" s="160" t="s">
        <v>998</v>
      </c>
      <c r="H212" s="160" t="s">
        <v>81</v>
      </c>
      <c r="I212" s="160" t="s">
        <v>705</v>
      </c>
      <c r="J212" s="160" t="s">
        <v>1005</v>
      </c>
      <c r="K212" s="161">
        <v>2</v>
      </c>
      <c r="L212" s="160"/>
      <c r="M212" s="160"/>
      <c r="N212" s="160"/>
      <c r="O212" s="160"/>
      <c r="P212" s="160"/>
      <c r="Q212" s="160"/>
      <c r="R212" s="162"/>
      <c r="S212" s="160"/>
      <c r="T212" s="159" t="s">
        <v>261</v>
      </c>
    </row>
    <row r="213" spans="1:20" ht="31.5" customHeight="1" x14ac:dyDescent="0.5">
      <c r="A213" s="156"/>
      <c r="B213" s="156"/>
      <c r="C213" s="155" t="s">
        <v>1090</v>
      </c>
      <c r="D213" s="156" t="s">
        <v>282</v>
      </c>
      <c r="E213" s="156" t="s">
        <v>820</v>
      </c>
      <c r="F213" s="156" t="s">
        <v>1087</v>
      </c>
      <c r="G213" s="156" t="s">
        <v>998</v>
      </c>
      <c r="H213" s="156" t="s">
        <v>81</v>
      </c>
      <c r="I213" s="156" t="s">
        <v>1091</v>
      </c>
      <c r="J213" s="156" t="s">
        <v>1005</v>
      </c>
      <c r="K213" s="157">
        <v>2</v>
      </c>
      <c r="L213" s="156"/>
      <c r="M213" s="156"/>
      <c r="N213" s="156"/>
      <c r="O213" s="156"/>
      <c r="P213" s="156"/>
      <c r="Q213" s="156"/>
      <c r="R213" s="158"/>
      <c r="S213" s="156"/>
      <c r="T213" s="155" t="s">
        <v>261</v>
      </c>
    </row>
    <row r="214" spans="1:20" ht="31.5" customHeight="1" x14ac:dyDescent="0.5">
      <c r="A214" s="160"/>
      <c r="B214" s="160"/>
      <c r="C214" s="159" t="s">
        <v>1092</v>
      </c>
      <c r="D214" s="160" t="s">
        <v>282</v>
      </c>
      <c r="E214" s="160" t="s">
        <v>820</v>
      </c>
      <c r="F214" s="160" t="s">
        <v>1087</v>
      </c>
      <c r="G214" s="160" t="s">
        <v>998</v>
      </c>
      <c r="H214" s="160" t="s">
        <v>81</v>
      </c>
      <c r="I214" s="160" t="s">
        <v>1093</v>
      </c>
      <c r="J214" s="160" t="s">
        <v>1005</v>
      </c>
      <c r="K214" s="161">
        <v>2</v>
      </c>
      <c r="L214" s="160"/>
      <c r="M214" s="160"/>
      <c r="N214" s="160"/>
      <c r="O214" s="160"/>
      <c r="P214" s="160"/>
      <c r="Q214" s="160"/>
      <c r="R214" s="162"/>
      <c r="S214" s="160"/>
      <c r="T214" s="159" t="s">
        <v>261</v>
      </c>
    </row>
    <row r="215" spans="1:20" ht="31.5" customHeight="1" x14ac:dyDescent="0.5">
      <c r="A215" s="156"/>
      <c r="B215" s="156"/>
      <c r="C215" s="155" t="s">
        <v>1094</v>
      </c>
      <c r="D215" s="156" t="s">
        <v>282</v>
      </c>
      <c r="E215" s="156" t="s">
        <v>820</v>
      </c>
      <c r="F215" s="156" t="s">
        <v>1087</v>
      </c>
      <c r="G215" s="156" t="s">
        <v>998</v>
      </c>
      <c r="H215" s="156" t="s">
        <v>81</v>
      </c>
      <c r="I215" s="156" t="s">
        <v>1095</v>
      </c>
      <c r="J215" s="156" t="s">
        <v>1005</v>
      </c>
      <c r="K215" s="157">
        <v>2</v>
      </c>
      <c r="L215" s="156"/>
      <c r="M215" s="156"/>
      <c r="N215" s="156"/>
      <c r="O215" s="156"/>
      <c r="P215" s="156"/>
      <c r="Q215" s="156"/>
      <c r="R215" s="158"/>
      <c r="S215" s="156"/>
      <c r="T215" s="155" t="s">
        <v>261</v>
      </c>
    </row>
    <row r="216" spans="1:20" ht="63" customHeight="1" x14ac:dyDescent="0.5">
      <c r="A216" s="160"/>
      <c r="B216" s="160"/>
      <c r="C216" s="159" t="s">
        <v>1096</v>
      </c>
      <c r="D216" s="160" t="s">
        <v>282</v>
      </c>
      <c r="E216" s="160" t="s">
        <v>820</v>
      </c>
      <c r="F216" s="160" t="s">
        <v>1087</v>
      </c>
      <c r="G216" s="160" t="s">
        <v>998</v>
      </c>
      <c r="H216" s="160" t="s">
        <v>81</v>
      </c>
      <c r="I216" s="160" t="s">
        <v>1097</v>
      </c>
      <c r="J216" s="160" t="s">
        <v>1005</v>
      </c>
      <c r="K216" s="161">
        <v>2</v>
      </c>
      <c r="L216" s="160"/>
      <c r="M216" s="160"/>
      <c r="N216" s="160"/>
      <c r="O216" s="160"/>
      <c r="P216" s="160"/>
      <c r="Q216" s="160"/>
      <c r="R216" s="162"/>
      <c r="S216" s="160"/>
      <c r="T216" s="159" t="s">
        <v>261</v>
      </c>
    </row>
    <row r="217" spans="1:20" ht="52.5" customHeight="1" x14ac:dyDescent="0.5">
      <c r="A217" s="156"/>
      <c r="B217" s="156"/>
      <c r="C217" s="155" t="s">
        <v>1098</v>
      </c>
      <c r="D217" s="156" t="s">
        <v>282</v>
      </c>
      <c r="E217" s="156" t="s">
        <v>820</v>
      </c>
      <c r="F217" s="156" t="s">
        <v>1087</v>
      </c>
      <c r="G217" s="156" t="s">
        <v>998</v>
      </c>
      <c r="H217" s="156" t="s">
        <v>81</v>
      </c>
      <c r="I217" s="156" t="s">
        <v>583</v>
      </c>
      <c r="J217" s="156" t="s">
        <v>1005</v>
      </c>
      <c r="K217" s="157">
        <v>2</v>
      </c>
      <c r="L217" s="156"/>
      <c r="M217" s="156"/>
      <c r="N217" s="156"/>
      <c r="O217" s="156"/>
      <c r="P217" s="156"/>
      <c r="Q217" s="156"/>
      <c r="R217" s="158"/>
      <c r="S217" s="156"/>
      <c r="T217" s="155" t="s">
        <v>261</v>
      </c>
    </row>
    <row r="218" spans="1:20" ht="31.5" customHeight="1" x14ac:dyDescent="0.5">
      <c r="A218" s="160"/>
      <c r="B218" s="160"/>
      <c r="C218" s="159" t="s">
        <v>1099</v>
      </c>
      <c r="D218" s="160" t="s">
        <v>282</v>
      </c>
      <c r="E218" s="160" t="s">
        <v>820</v>
      </c>
      <c r="F218" s="160" t="s">
        <v>1087</v>
      </c>
      <c r="G218" s="160" t="s">
        <v>998</v>
      </c>
      <c r="H218" s="160" t="s">
        <v>81</v>
      </c>
      <c r="I218" s="160" t="s">
        <v>1100</v>
      </c>
      <c r="J218" s="160" t="s">
        <v>1005</v>
      </c>
      <c r="K218" s="161">
        <v>2</v>
      </c>
      <c r="L218" s="160"/>
      <c r="M218" s="160"/>
      <c r="N218" s="160"/>
      <c r="O218" s="160"/>
      <c r="P218" s="160"/>
      <c r="Q218" s="160"/>
      <c r="R218" s="162"/>
      <c r="S218" s="160"/>
      <c r="T218" s="159" t="s">
        <v>261</v>
      </c>
    </row>
    <row r="219" spans="1:20" ht="63" customHeight="1" x14ac:dyDescent="0.5">
      <c r="A219" s="156"/>
      <c r="B219" s="156"/>
      <c r="C219" s="155" t="s">
        <v>1101</v>
      </c>
      <c r="D219" s="156" t="s">
        <v>282</v>
      </c>
      <c r="E219" s="156" t="s">
        <v>820</v>
      </c>
      <c r="F219" s="156" t="s">
        <v>1087</v>
      </c>
      <c r="G219" s="156" t="s">
        <v>998</v>
      </c>
      <c r="H219" s="156" t="s">
        <v>81</v>
      </c>
      <c r="I219" s="156" t="s">
        <v>585</v>
      </c>
      <c r="J219" s="156" t="s">
        <v>1005</v>
      </c>
      <c r="K219" s="157">
        <v>2</v>
      </c>
      <c r="L219" s="156"/>
      <c r="M219" s="156"/>
      <c r="N219" s="156"/>
      <c r="O219" s="156"/>
      <c r="P219" s="156"/>
      <c r="Q219" s="156"/>
      <c r="R219" s="158"/>
      <c r="S219" s="156"/>
      <c r="T219" s="155" t="s">
        <v>261</v>
      </c>
    </row>
    <row r="220" spans="1:20" ht="31.5" customHeight="1" x14ac:dyDescent="0.5">
      <c r="A220" s="160"/>
      <c r="B220" s="160"/>
      <c r="C220" s="159" t="s">
        <v>1102</v>
      </c>
      <c r="D220" s="160" t="s">
        <v>282</v>
      </c>
      <c r="E220" s="160" t="s">
        <v>820</v>
      </c>
      <c r="F220" s="160" t="s">
        <v>1087</v>
      </c>
      <c r="G220" s="160" t="s">
        <v>998</v>
      </c>
      <c r="H220" s="160" t="s">
        <v>81</v>
      </c>
      <c r="I220" s="160" t="s">
        <v>1103</v>
      </c>
      <c r="J220" s="160" t="s">
        <v>1005</v>
      </c>
      <c r="K220" s="161">
        <v>2</v>
      </c>
      <c r="L220" s="160"/>
      <c r="M220" s="160"/>
      <c r="N220" s="160"/>
      <c r="O220" s="160"/>
      <c r="P220" s="160"/>
      <c r="Q220" s="160"/>
      <c r="R220" s="162"/>
      <c r="S220" s="160"/>
      <c r="T220" s="159" t="s">
        <v>261</v>
      </c>
    </row>
    <row r="221" spans="1:20" ht="31.5" customHeight="1" x14ac:dyDescent="0.5">
      <c r="A221" s="156"/>
      <c r="B221" s="156"/>
      <c r="C221" s="155" t="s">
        <v>1104</v>
      </c>
      <c r="D221" s="156" t="s">
        <v>282</v>
      </c>
      <c r="E221" s="156" t="s">
        <v>820</v>
      </c>
      <c r="F221" s="156" t="s">
        <v>1087</v>
      </c>
      <c r="G221" s="156" t="s">
        <v>998</v>
      </c>
      <c r="H221" s="156" t="s">
        <v>81</v>
      </c>
      <c r="I221" s="156" t="s">
        <v>1105</v>
      </c>
      <c r="J221" s="156" t="s">
        <v>1005</v>
      </c>
      <c r="K221" s="157">
        <v>2</v>
      </c>
      <c r="L221" s="156"/>
      <c r="M221" s="156"/>
      <c r="N221" s="156"/>
      <c r="O221" s="156"/>
      <c r="P221" s="156"/>
      <c r="Q221" s="156"/>
      <c r="R221" s="158"/>
      <c r="S221" s="156"/>
      <c r="T221" s="155" t="s">
        <v>261</v>
      </c>
    </row>
    <row r="222" spans="1:20" ht="52.5" customHeight="1" x14ac:dyDescent="0.5">
      <c r="A222" s="160"/>
      <c r="B222" s="160"/>
      <c r="C222" s="159" t="s">
        <v>1106</v>
      </c>
      <c r="D222" s="160" t="s">
        <v>282</v>
      </c>
      <c r="E222" s="160" t="s">
        <v>820</v>
      </c>
      <c r="F222" s="160" t="s">
        <v>1087</v>
      </c>
      <c r="G222" s="160" t="s">
        <v>998</v>
      </c>
      <c r="H222" s="160" t="s">
        <v>81</v>
      </c>
      <c r="I222" s="160" t="s">
        <v>1107</v>
      </c>
      <c r="J222" s="160" t="s">
        <v>1005</v>
      </c>
      <c r="K222" s="161">
        <v>2</v>
      </c>
      <c r="L222" s="160"/>
      <c r="M222" s="160"/>
      <c r="N222" s="160"/>
      <c r="O222" s="160"/>
      <c r="P222" s="160"/>
      <c r="Q222" s="160"/>
      <c r="R222" s="162"/>
      <c r="S222" s="160"/>
      <c r="T222" s="159" t="s">
        <v>261</v>
      </c>
    </row>
    <row r="223" spans="1:20" ht="52.5" customHeight="1" x14ac:dyDescent="0.5">
      <c r="A223" s="156"/>
      <c r="B223" s="156"/>
      <c r="C223" s="155" t="s">
        <v>1108</v>
      </c>
      <c r="D223" s="156" t="s">
        <v>282</v>
      </c>
      <c r="E223" s="156" t="s">
        <v>820</v>
      </c>
      <c r="F223" s="156" t="s">
        <v>1087</v>
      </c>
      <c r="G223" s="156" t="s">
        <v>998</v>
      </c>
      <c r="H223" s="156" t="s">
        <v>81</v>
      </c>
      <c r="I223" s="156" t="s">
        <v>1109</v>
      </c>
      <c r="J223" s="156" t="s">
        <v>1005</v>
      </c>
      <c r="K223" s="157">
        <v>2</v>
      </c>
      <c r="L223" s="156"/>
      <c r="M223" s="156"/>
      <c r="N223" s="156"/>
      <c r="O223" s="156"/>
      <c r="P223" s="156"/>
      <c r="Q223" s="156"/>
      <c r="R223" s="158"/>
      <c r="S223" s="156"/>
      <c r="T223" s="155" t="s">
        <v>261</v>
      </c>
    </row>
    <row r="224" spans="1:20" ht="31.5" customHeight="1" x14ac:dyDescent="0.5">
      <c r="A224" s="160"/>
      <c r="B224" s="160"/>
      <c r="C224" s="159" t="s">
        <v>1110</v>
      </c>
      <c r="D224" s="160" t="s">
        <v>282</v>
      </c>
      <c r="E224" s="160" t="s">
        <v>820</v>
      </c>
      <c r="F224" s="160" t="s">
        <v>1087</v>
      </c>
      <c r="G224" s="160" t="s">
        <v>998</v>
      </c>
      <c r="H224" s="160" t="s">
        <v>81</v>
      </c>
      <c r="I224" s="160" t="s">
        <v>1066</v>
      </c>
      <c r="J224" s="160" t="s">
        <v>1005</v>
      </c>
      <c r="K224" s="161">
        <v>2</v>
      </c>
      <c r="L224" s="160"/>
      <c r="M224" s="160"/>
      <c r="N224" s="160"/>
      <c r="O224" s="160"/>
      <c r="P224" s="160"/>
      <c r="Q224" s="160"/>
      <c r="R224" s="162"/>
      <c r="S224" s="160"/>
      <c r="T224" s="159" t="s">
        <v>261</v>
      </c>
    </row>
    <row r="225" spans="1:20" ht="31.5" customHeight="1" x14ac:dyDescent="0.5">
      <c r="A225" s="156"/>
      <c r="B225" s="156"/>
      <c r="C225" s="155" t="s">
        <v>590</v>
      </c>
      <c r="D225" s="156" t="s">
        <v>282</v>
      </c>
      <c r="E225" s="156" t="s">
        <v>277</v>
      </c>
      <c r="F225" s="156" t="s">
        <v>1087</v>
      </c>
      <c r="G225" s="156" t="s">
        <v>998</v>
      </c>
      <c r="H225" s="156" t="s">
        <v>81</v>
      </c>
      <c r="I225" s="156" t="s">
        <v>589</v>
      </c>
      <c r="J225" s="156" t="s">
        <v>1005</v>
      </c>
      <c r="K225" s="157">
        <v>2</v>
      </c>
      <c r="L225" s="156" t="s">
        <v>1000</v>
      </c>
      <c r="M225" s="156" t="s">
        <v>826</v>
      </c>
      <c r="N225" s="156" t="s">
        <v>1076</v>
      </c>
      <c r="O225" s="156" t="s">
        <v>1080</v>
      </c>
      <c r="P225" s="156" t="s">
        <v>1004</v>
      </c>
      <c r="Q225" s="156"/>
      <c r="R225" s="158" t="s">
        <v>278</v>
      </c>
      <c r="S225" s="156"/>
      <c r="T225" s="155" t="s">
        <v>261</v>
      </c>
    </row>
    <row r="226" spans="1:20" ht="31.5" customHeight="1" x14ac:dyDescent="0.5">
      <c r="A226" s="160"/>
      <c r="B226" s="160"/>
      <c r="C226" s="159" t="s">
        <v>1111</v>
      </c>
      <c r="D226" s="160" t="s">
        <v>282</v>
      </c>
      <c r="E226" s="160" t="s">
        <v>820</v>
      </c>
      <c r="F226" s="160" t="s">
        <v>1087</v>
      </c>
      <c r="G226" s="160" t="s">
        <v>998</v>
      </c>
      <c r="H226" s="160" t="s">
        <v>81</v>
      </c>
      <c r="I226" s="160" t="s">
        <v>561</v>
      </c>
      <c r="J226" s="160" t="s">
        <v>1005</v>
      </c>
      <c r="K226" s="161">
        <v>10</v>
      </c>
      <c r="L226" s="160"/>
      <c r="M226" s="160"/>
      <c r="N226" s="160"/>
      <c r="O226" s="160"/>
      <c r="P226" s="160"/>
      <c r="Q226" s="160"/>
      <c r="R226" s="162"/>
      <c r="S226" s="160"/>
      <c r="T226" s="159" t="s">
        <v>261</v>
      </c>
    </row>
    <row r="227" spans="1:20" ht="42" customHeight="1" x14ac:dyDescent="0.5">
      <c r="A227" s="156"/>
      <c r="B227" s="156"/>
      <c r="C227" s="155" t="s">
        <v>592</v>
      </c>
      <c r="D227" s="156" t="s">
        <v>282</v>
      </c>
      <c r="E227" s="156" t="s">
        <v>277</v>
      </c>
      <c r="F227" s="156" t="s">
        <v>1087</v>
      </c>
      <c r="G227" s="156" t="s">
        <v>998</v>
      </c>
      <c r="H227" s="156" t="s">
        <v>81</v>
      </c>
      <c r="I227" s="156" t="s">
        <v>591</v>
      </c>
      <c r="J227" s="156" t="s">
        <v>1005</v>
      </c>
      <c r="K227" s="157">
        <v>2</v>
      </c>
      <c r="L227" s="156" t="s">
        <v>932</v>
      </c>
      <c r="M227" s="156" t="s">
        <v>826</v>
      </c>
      <c r="N227" s="156" t="s">
        <v>1081</v>
      </c>
      <c r="O227" s="156" t="s">
        <v>1088</v>
      </c>
      <c r="P227" s="156" t="s">
        <v>1004</v>
      </c>
      <c r="Q227" s="156"/>
      <c r="R227" s="158" t="s">
        <v>278</v>
      </c>
      <c r="S227" s="156"/>
      <c r="T227" s="155" t="s">
        <v>261</v>
      </c>
    </row>
    <row r="228" spans="1:20" ht="31.5" customHeight="1" x14ac:dyDescent="0.5">
      <c r="A228" s="160" t="s">
        <v>87</v>
      </c>
      <c r="B228" s="160"/>
      <c r="C228" s="159" t="s">
        <v>593</v>
      </c>
      <c r="D228" s="160" t="s">
        <v>282</v>
      </c>
      <c r="E228" s="160" t="s">
        <v>277</v>
      </c>
      <c r="F228" s="160" t="s">
        <v>1087</v>
      </c>
      <c r="G228" s="160" t="s">
        <v>998</v>
      </c>
      <c r="H228" s="160" t="s">
        <v>81</v>
      </c>
      <c r="I228" s="160" t="s">
        <v>545</v>
      </c>
      <c r="J228" s="160" t="s">
        <v>1005</v>
      </c>
      <c r="K228" s="161">
        <v>2</v>
      </c>
      <c r="L228" s="160" t="s">
        <v>1073</v>
      </c>
      <c r="M228" s="160" t="s">
        <v>826</v>
      </c>
      <c r="N228" s="160" t="s">
        <v>1081</v>
      </c>
      <c r="O228" s="160" t="s">
        <v>1080</v>
      </c>
      <c r="P228" s="160" t="s">
        <v>1004</v>
      </c>
      <c r="Q228" s="160"/>
      <c r="R228" s="162" t="s">
        <v>278</v>
      </c>
      <c r="S228" s="160"/>
      <c r="T228" s="159" t="s">
        <v>261</v>
      </c>
    </row>
    <row r="229" spans="1:20" ht="42" customHeight="1" x14ac:dyDescent="0.5">
      <c r="A229" s="156" t="s">
        <v>87</v>
      </c>
      <c r="B229" s="156"/>
      <c r="C229" s="155" t="s">
        <v>1112</v>
      </c>
      <c r="D229" s="156" t="s">
        <v>282</v>
      </c>
      <c r="E229" s="156" t="s">
        <v>820</v>
      </c>
      <c r="F229" s="156" t="s">
        <v>1087</v>
      </c>
      <c r="G229" s="156" t="s">
        <v>998</v>
      </c>
      <c r="H229" s="156" t="s">
        <v>81</v>
      </c>
      <c r="I229" s="156" t="s">
        <v>1113</v>
      </c>
      <c r="J229" s="156" t="s">
        <v>1005</v>
      </c>
      <c r="K229" s="157">
        <v>2</v>
      </c>
      <c r="L229" s="156"/>
      <c r="M229" s="156"/>
      <c r="N229" s="156"/>
      <c r="O229" s="156"/>
      <c r="P229" s="156"/>
      <c r="Q229" s="156"/>
      <c r="R229" s="158"/>
      <c r="S229" s="156"/>
      <c r="T229" s="155" t="s">
        <v>261</v>
      </c>
    </row>
    <row r="230" spans="1:20" ht="42" customHeight="1" x14ac:dyDescent="0.5">
      <c r="A230" s="160" t="s">
        <v>87</v>
      </c>
      <c r="B230" s="160"/>
      <c r="C230" s="159" t="s">
        <v>1114</v>
      </c>
      <c r="D230" s="160" t="s">
        <v>282</v>
      </c>
      <c r="E230" s="160" t="s">
        <v>820</v>
      </c>
      <c r="F230" s="160" t="s">
        <v>1087</v>
      </c>
      <c r="G230" s="160" t="s">
        <v>998</v>
      </c>
      <c r="H230" s="160" t="s">
        <v>81</v>
      </c>
      <c r="I230" s="160" t="s">
        <v>558</v>
      </c>
      <c r="J230" s="160" t="s">
        <v>1005</v>
      </c>
      <c r="K230" s="161">
        <v>10</v>
      </c>
      <c r="L230" s="160"/>
      <c r="M230" s="160"/>
      <c r="N230" s="160"/>
      <c r="O230" s="160"/>
      <c r="P230" s="160"/>
      <c r="Q230" s="160"/>
      <c r="R230" s="162"/>
      <c r="S230" s="160"/>
      <c r="T230" s="159" t="s">
        <v>261</v>
      </c>
    </row>
    <row r="231" spans="1:20" ht="42" customHeight="1" x14ac:dyDescent="0.5">
      <c r="A231" s="156" t="s">
        <v>87</v>
      </c>
      <c r="B231" s="156"/>
      <c r="C231" s="155" t="s">
        <v>595</v>
      </c>
      <c r="D231" s="156" t="s">
        <v>282</v>
      </c>
      <c r="E231" s="156" t="s">
        <v>277</v>
      </c>
      <c r="F231" s="156" t="s">
        <v>1087</v>
      </c>
      <c r="G231" s="156" t="s">
        <v>998</v>
      </c>
      <c r="H231" s="156" t="s">
        <v>81</v>
      </c>
      <c r="I231" s="156" t="s">
        <v>594</v>
      </c>
      <c r="J231" s="156" t="s">
        <v>1005</v>
      </c>
      <c r="K231" s="157">
        <v>2</v>
      </c>
      <c r="L231" s="156" t="s">
        <v>1073</v>
      </c>
      <c r="M231" s="156" t="s">
        <v>826</v>
      </c>
      <c r="N231" s="156" t="s">
        <v>1081</v>
      </c>
      <c r="O231" s="156" t="s">
        <v>1080</v>
      </c>
      <c r="P231" s="156" t="s">
        <v>1004</v>
      </c>
      <c r="Q231" s="156"/>
      <c r="R231" s="158" t="s">
        <v>278</v>
      </c>
      <c r="S231" s="156"/>
      <c r="T231" s="155" t="s">
        <v>261</v>
      </c>
    </row>
    <row r="232" spans="1:20" ht="31.5" customHeight="1" x14ac:dyDescent="0.5">
      <c r="A232" s="160" t="s">
        <v>87</v>
      </c>
      <c r="B232" s="160"/>
      <c r="C232" s="159" t="s">
        <v>1115</v>
      </c>
      <c r="D232" s="160" t="s">
        <v>282</v>
      </c>
      <c r="E232" s="160" t="s">
        <v>820</v>
      </c>
      <c r="F232" s="160" t="s">
        <v>1087</v>
      </c>
      <c r="G232" s="160" t="s">
        <v>998</v>
      </c>
      <c r="H232" s="160" t="s">
        <v>81</v>
      </c>
      <c r="I232" s="160" t="s">
        <v>1116</v>
      </c>
      <c r="J232" s="160" t="s">
        <v>1005</v>
      </c>
      <c r="K232" s="161">
        <v>2</v>
      </c>
      <c r="L232" s="160"/>
      <c r="M232" s="160"/>
      <c r="N232" s="160"/>
      <c r="O232" s="160"/>
      <c r="P232" s="160"/>
      <c r="Q232" s="160"/>
      <c r="R232" s="162"/>
      <c r="S232" s="160"/>
      <c r="T232" s="159" t="s">
        <v>261</v>
      </c>
    </row>
    <row r="233" spans="1:20" ht="42" customHeight="1" x14ac:dyDescent="0.5">
      <c r="A233" s="156" t="s">
        <v>87</v>
      </c>
      <c r="B233" s="156"/>
      <c r="C233" s="155" t="s">
        <v>1117</v>
      </c>
      <c r="D233" s="156" t="s">
        <v>282</v>
      </c>
      <c r="E233" s="156" t="s">
        <v>820</v>
      </c>
      <c r="F233" s="156" t="s">
        <v>1087</v>
      </c>
      <c r="G233" s="156" t="s">
        <v>998</v>
      </c>
      <c r="H233" s="156" t="s">
        <v>81</v>
      </c>
      <c r="I233" s="156" t="s">
        <v>566</v>
      </c>
      <c r="J233" s="156" t="s">
        <v>1005</v>
      </c>
      <c r="K233" s="157">
        <v>2</v>
      </c>
      <c r="L233" s="156"/>
      <c r="M233" s="156"/>
      <c r="N233" s="156"/>
      <c r="O233" s="156"/>
      <c r="P233" s="156"/>
      <c r="Q233" s="156"/>
      <c r="R233" s="158"/>
      <c r="S233" s="156"/>
      <c r="T233" s="155" t="s">
        <v>261</v>
      </c>
    </row>
    <row r="234" spans="1:20" ht="31.5" customHeight="1" x14ac:dyDescent="0.5">
      <c r="A234" s="160" t="s">
        <v>87</v>
      </c>
      <c r="B234" s="160"/>
      <c r="C234" s="159" t="s">
        <v>1118</v>
      </c>
      <c r="D234" s="160" t="s">
        <v>282</v>
      </c>
      <c r="E234" s="160" t="s">
        <v>820</v>
      </c>
      <c r="F234" s="160" t="s">
        <v>1087</v>
      </c>
      <c r="G234" s="160" t="s">
        <v>998</v>
      </c>
      <c r="H234" s="160" t="s">
        <v>81</v>
      </c>
      <c r="I234" s="160" t="s">
        <v>1119</v>
      </c>
      <c r="J234" s="160" t="s">
        <v>1005</v>
      </c>
      <c r="K234" s="161">
        <v>10</v>
      </c>
      <c r="L234" s="160"/>
      <c r="M234" s="160"/>
      <c r="N234" s="160"/>
      <c r="O234" s="160"/>
      <c r="P234" s="160"/>
      <c r="Q234" s="160"/>
      <c r="R234" s="162"/>
      <c r="S234" s="160"/>
      <c r="T234" s="159" t="s">
        <v>261</v>
      </c>
    </row>
    <row r="235" spans="1:20" ht="31.5" customHeight="1" x14ac:dyDescent="0.5">
      <c r="A235" s="156" t="s">
        <v>87</v>
      </c>
      <c r="B235" s="156"/>
      <c r="C235" s="155" t="s">
        <v>598</v>
      </c>
      <c r="D235" s="156" t="s">
        <v>282</v>
      </c>
      <c r="E235" s="156" t="s">
        <v>277</v>
      </c>
      <c r="F235" s="156" t="s">
        <v>1087</v>
      </c>
      <c r="G235" s="156" t="s">
        <v>998</v>
      </c>
      <c r="H235" s="156" t="s">
        <v>81</v>
      </c>
      <c r="I235" s="156" t="s">
        <v>597</v>
      </c>
      <c r="J235" s="156" t="s">
        <v>1005</v>
      </c>
      <c r="K235" s="157">
        <v>5</v>
      </c>
      <c r="L235" s="156" t="s">
        <v>1000</v>
      </c>
      <c r="M235" s="156" t="s">
        <v>826</v>
      </c>
      <c r="N235" s="156" t="s">
        <v>1076</v>
      </c>
      <c r="O235" s="156" t="s">
        <v>1080</v>
      </c>
      <c r="P235" s="156" t="s">
        <v>1004</v>
      </c>
      <c r="Q235" s="156"/>
      <c r="R235" s="158" t="s">
        <v>278</v>
      </c>
      <c r="S235" s="156"/>
      <c r="T235" s="155" t="s">
        <v>261</v>
      </c>
    </row>
    <row r="236" spans="1:20" ht="42" customHeight="1" x14ac:dyDescent="0.5">
      <c r="A236" s="160" t="s">
        <v>87</v>
      </c>
      <c r="B236" s="160"/>
      <c r="C236" s="159" t="s">
        <v>600</v>
      </c>
      <c r="D236" s="160" t="s">
        <v>282</v>
      </c>
      <c r="E236" s="160" t="s">
        <v>277</v>
      </c>
      <c r="F236" s="160" t="s">
        <v>1087</v>
      </c>
      <c r="G236" s="160" t="s">
        <v>998</v>
      </c>
      <c r="H236" s="160" t="s">
        <v>81</v>
      </c>
      <c r="I236" s="160" t="s">
        <v>599</v>
      </c>
      <c r="J236" s="160" t="s">
        <v>1005</v>
      </c>
      <c r="K236" s="161">
        <v>5</v>
      </c>
      <c r="L236" s="160" t="s">
        <v>1000</v>
      </c>
      <c r="M236" s="160" t="s">
        <v>826</v>
      </c>
      <c r="N236" s="160" t="s">
        <v>1080</v>
      </c>
      <c r="O236" s="160" t="s">
        <v>1080</v>
      </c>
      <c r="P236" s="160" t="s">
        <v>1004</v>
      </c>
      <c r="Q236" s="160"/>
      <c r="R236" s="162" t="s">
        <v>278</v>
      </c>
      <c r="S236" s="160"/>
      <c r="T236" s="159" t="s">
        <v>261</v>
      </c>
    </row>
    <row r="237" spans="1:20" ht="31.5" customHeight="1" x14ac:dyDescent="0.5">
      <c r="A237" s="156" t="s">
        <v>87</v>
      </c>
      <c r="B237" s="156"/>
      <c r="C237" s="155" t="s">
        <v>602</v>
      </c>
      <c r="D237" s="156" t="s">
        <v>282</v>
      </c>
      <c r="E237" s="156" t="s">
        <v>277</v>
      </c>
      <c r="F237" s="156" t="s">
        <v>1087</v>
      </c>
      <c r="G237" s="156" t="s">
        <v>998</v>
      </c>
      <c r="H237" s="156" t="s">
        <v>81</v>
      </c>
      <c r="I237" s="156" t="s">
        <v>601</v>
      </c>
      <c r="J237" s="156" t="s">
        <v>1005</v>
      </c>
      <c r="K237" s="157">
        <v>6</v>
      </c>
      <c r="L237" s="156" t="s">
        <v>932</v>
      </c>
      <c r="M237" s="156" t="s">
        <v>826</v>
      </c>
      <c r="N237" s="156" t="s">
        <v>1081</v>
      </c>
      <c r="O237" s="156" t="s">
        <v>1080</v>
      </c>
      <c r="P237" s="156" t="s">
        <v>1004</v>
      </c>
      <c r="Q237" s="156"/>
      <c r="R237" s="158" t="s">
        <v>93</v>
      </c>
      <c r="S237" s="156"/>
      <c r="T237" s="155" t="s">
        <v>261</v>
      </c>
    </row>
    <row r="238" spans="1:20" ht="31.5" customHeight="1" x14ac:dyDescent="0.5">
      <c r="A238" s="160" t="s">
        <v>87</v>
      </c>
      <c r="B238" s="160"/>
      <c r="C238" s="159" t="s">
        <v>604</v>
      </c>
      <c r="D238" s="160" t="s">
        <v>282</v>
      </c>
      <c r="E238" s="160" t="s">
        <v>277</v>
      </c>
      <c r="F238" s="160" t="s">
        <v>1087</v>
      </c>
      <c r="G238" s="160" t="s">
        <v>998</v>
      </c>
      <c r="H238" s="160" t="s">
        <v>81</v>
      </c>
      <c r="I238" s="160" t="s">
        <v>603</v>
      </c>
      <c r="J238" s="160" t="s">
        <v>1005</v>
      </c>
      <c r="K238" s="161">
        <v>6</v>
      </c>
      <c r="L238" s="160" t="s">
        <v>1000</v>
      </c>
      <c r="M238" s="160" t="s">
        <v>826</v>
      </c>
      <c r="N238" s="160" t="s">
        <v>1081</v>
      </c>
      <c r="O238" s="160" t="s">
        <v>1083</v>
      </c>
      <c r="P238" s="160" t="s">
        <v>1004</v>
      </c>
      <c r="Q238" s="160"/>
      <c r="R238" s="162" t="s">
        <v>278</v>
      </c>
      <c r="S238" s="160"/>
      <c r="T238" s="159" t="s">
        <v>261</v>
      </c>
    </row>
    <row r="239" spans="1:20" ht="31.5" customHeight="1" x14ac:dyDescent="0.5">
      <c r="A239" s="156" t="s">
        <v>87</v>
      </c>
      <c r="B239" s="156"/>
      <c r="C239" s="155" t="s">
        <v>606</v>
      </c>
      <c r="D239" s="156" t="s">
        <v>282</v>
      </c>
      <c r="E239" s="156" t="s">
        <v>277</v>
      </c>
      <c r="F239" s="156" t="s">
        <v>1087</v>
      </c>
      <c r="G239" s="156" t="s">
        <v>998</v>
      </c>
      <c r="H239" s="156" t="s">
        <v>81</v>
      </c>
      <c r="I239" s="156" t="s">
        <v>605</v>
      </c>
      <c r="J239" s="156" t="s">
        <v>1005</v>
      </c>
      <c r="K239" s="157">
        <v>5</v>
      </c>
      <c r="L239" s="156" t="s">
        <v>1000</v>
      </c>
      <c r="M239" s="156" t="s">
        <v>826</v>
      </c>
      <c r="N239" s="156" t="s">
        <v>1081</v>
      </c>
      <c r="O239" s="156" t="s">
        <v>1080</v>
      </c>
      <c r="P239" s="156" t="s">
        <v>1004</v>
      </c>
      <c r="Q239" s="156"/>
      <c r="R239" s="158" t="s">
        <v>278</v>
      </c>
      <c r="S239" s="156"/>
      <c r="T239" s="155" t="s">
        <v>261</v>
      </c>
    </row>
    <row r="240" spans="1:20" ht="31.5" customHeight="1" x14ac:dyDescent="0.5">
      <c r="A240" s="160" t="s">
        <v>87</v>
      </c>
      <c r="B240" s="160"/>
      <c r="C240" s="159" t="s">
        <v>608</v>
      </c>
      <c r="D240" s="160" t="s">
        <v>282</v>
      </c>
      <c r="E240" s="160" t="s">
        <v>277</v>
      </c>
      <c r="F240" s="160" t="s">
        <v>1087</v>
      </c>
      <c r="G240" s="160" t="s">
        <v>998</v>
      </c>
      <c r="H240" s="160" t="s">
        <v>81</v>
      </c>
      <c r="I240" s="160" t="s">
        <v>607</v>
      </c>
      <c r="J240" s="160" t="s">
        <v>1005</v>
      </c>
      <c r="K240" s="161">
        <v>5</v>
      </c>
      <c r="L240" s="160" t="s">
        <v>1073</v>
      </c>
      <c r="M240" s="160" t="s">
        <v>826</v>
      </c>
      <c r="N240" s="160" t="s">
        <v>1081</v>
      </c>
      <c r="O240" s="160" t="s">
        <v>1080</v>
      </c>
      <c r="P240" s="160" t="s">
        <v>1004</v>
      </c>
      <c r="Q240" s="160"/>
      <c r="R240" s="162" t="s">
        <v>278</v>
      </c>
      <c r="S240" s="160"/>
      <c r="T240" s="159" t="s">
        <v>261</v>
      </c>
    </row>
    <row r="241" spans="1:20" ht="31.5" customHeight="1" x14ac:dyDescent="0.5">
      <c r="A241" s="156" t="s">
        <v>87</v>
      </c>
      <c r="B241" s="156"/>
      <c r="C241" s="155" t="s">
        <v>610</v>
      </c>
      <c r="D241" s="156" t="s">
        <v>282</v>
      </c>
      <c r="E241" s="156" t="s">
        <v>277</v>
      </c>
      <c r="F241" s="156" t="s">
        <v>1087</v>
      </c>
      <c r="G241" s="156" t="s">
        <v>998</v>
      </c>
      <c r="H241" s="156" t="s">
        <v>81</v>
      </c>
      <c r="I241" s="156" t="s">
        <v>609</v>
      </c>
      <c r="J241" s="156" t="s">
        <v>1005</v>
      </c>
      <c r="K241" s="157">
        <v>5</v>
      </c>
      <c r="L241" s="156" t="s">
        <v>1120</v>
      </c>
      <c r="M241" s="156" t="s">
        <v>826</v>
      </c>
      <c r="N241" s="156" t="s">
        <v>995</v>
      </c>
      <c r="O241" s="156" t="s">
        <v>1080</v>
      </c>
      <c r="P241" s="156" t="s">
        <v>993</v>
      </c>
      <c r="Q241" s="156"/>
      <c r="R241" s="158" t="s">
        <v>278</v>
      </c>
      <c r="S241" s="156"/>
      <c r="T241" s="155" t="s">
        <v>261</v>
      </c>
    </row>
    <row r="242" spans="1:20" ht="31.5" customHeight="1" x14ac:dyDescent="0.5">
      <c r="A242" s="160" t="s">
        <v>87</v>
      </c>
      <c r="B242" s="160"/>
      <c r="C242" s="159" t="s">
        <v>613</v>
      </c>
      <c r="D242" s="160" t="s">
        <v>282</v>
      </c>
      <c r="E242" s="160" t="s">
        <v>277</v>
      </c>
      <c r="F242" s="160" t="s">
        <v>1087</v>
      </c>
      <c r="G242" s="160" t="s">
        <v>998</v>
      </c>
      <c r="H242" s="160" t="s">
        <v>81</v>
      </c>
      <c r="I242" s="160" t="s">
        <v>612</v>
      </c>
      <c r="J242" s="160" t="s">
        <v>1005</v>
      </c>
      <c r="K242" s="161">
        <v>5</v>
      </c>
      <c r="L242" s="160" t="s">
        <v>932</v>
      </c>
      <c r="M242" s="160" t="s">
        <v>826</v>
      </c>
      <c r="N242" s="160" t="s">
        <v>1081</v>
      </c>
      <c r="O242" s="160" t="s">
        <v>1081</v>
      </c>
      <c r="P242" s="160" t="s">
        <v>1004</v>
      </c>
      <c r="Q242" s="160"/>
      <c r="R242" s="162" t="s">
        <v>278</v>
      </c>
      <c r="S242" s="160"/>
      <c r="T242" s="159" t="s">
        <v>261</v>
      </c>
    </row>
    <row r="243" spans="1:20" ht="42" customHeight="1" x14ac:dyDescent="0.5">
      <c r="A243" s="156" t="s">
        <v>87</v>
      </c>
      <c r="B243" s="156"/>
      <c r="C243" s="155" t="s">
        <v>1121</v>
      </c>
      <c r="D243" s="156" t="s">
        <v>282</v>
      </c>
      <c r="E243" s="156" t="s">
        <v>820</v>
      </c>
      <c r="F243" s="156" t="s">
        <v>1087</v>
      </c>
      <c r="G243" s="156" t="s">
        <v>998</v>
      </c>
      <c r="H243" s="156" t="s">
        <v>81</v>
      </c>
      <c r="I243" s="156" t="s">
        <v>1122</v>
      </c>
      <c r="J243" s="156" t="s">
        <v>1005</v>
      </c>
      <c r="K243" s="157">
        <v>6</v>
      </c>
      <c r="L243" s="156"/>
      <c r="M243" s="156"/>
      <c r="N243" s="156"/>
      <c r="O243" s="156"/>
      <c r="P243" s="156"/>
      <c r="Q243" s="156"/>
      <c r="R243" s="158"/>
      <c r="S243" s="156"/>
      <c r="T243" s="155" t="s">
        <v>261</v>
      </c>
    </row>
    <row r="244" spans="1:20" ht="31.5" customHeight="1" x14ac:dyDescent="0.5">
      <c r="A244" s="160" t="s">
        <v>87</v>
      </c>
      <c r="B244" s="160"/>
      <c r="C244" s="159" t="s">
        <v>615</v>
      </c>
      <c r="D244" s="160" t="s">
        <v>282</v>
      </c>
      <c r="E244" s="160" t="s">
        <v>277</v>
      </c>
      <c r="F244" s="160" t="s">
        <v>1087</v>
      </c>
      <c r="G244" s="160" t="s">
        <v>998</v>
      </c>
      <c r="H244" s="160" t="s">
        <v>81</v>
      </c>
      <c r="I244" s="160" t="s">
        <v>614</v>
      </c>
      <c r="J244" s="160" t="s">
        <v>1005</v>
      </c>
      <c r="K244" s="161">
        <v>5</v>
      </c>
      <c r="L244" s="160" t="s">
        <v>906</v>
      </c>
      <c r="M244" s="160" t="s">
        <v>826</v>
      </c>
      <c r="N244" s="160" t="s">
        <v>1081</v>
      </c>
      <c r="O244" s="160" t="s">
        <v>1080</v>
      </c>
      <c r="P244" s="160" t="s">
        <v>1004</v>
      </c>
      <c r="Q244" s="160"/>
      <c r="R244" s="162" t="s">
        <v>278</v>
      </c>
      <c r="S244" s="160"/>
      <c r="T244" s="159" t="s">
        <v>261</v>
      </c>
    </row>
    <row r="245" spans="1:20" ht="31.5" customHeight="1" x14ac:dyDescent="0.5">
      <c r="A245" s="156" t="s">
        <v>87</v>
      </c>
      <c r="B245" s="156"/>
      <c r="C245" s="155" t="s">
        <v>617</v>
      </c>
      <c r="D245" s="156" t="s">
        <v>282</v>
      </c>
      <c r="E245" s="156" t="s">
        <v>277</v>
      </c>
      <c r="F245" s="156" t="s">
        <v>1087</v>
      </c>
      <c r="G245" s="156" t="s">
        <v>998</v>
      </c>
      <c r="H245" s="156" t="s">
        <v>81</v>
      </c>
      <c r="I245" s="156" t="s">
        <v>616</v>
      </c>
      <c r="J245" s="156" t="s">
        <v>1005</v>
      </c>
      <c r="K245" s="157">
        <v>5</v>
      </c>
      <c r="L245" s="156" t="s">
        <v>1073</v>
      </c>
      <c r="M245" s="156" t="s">
        <v>826</v>
      </c>
      <c r="N245" s="156" t="s">
        <v>1081</v>
      </c>
      <c r="O245" s="156" t="s">
        <v>1080</v>
      </c>
      <c r="P245" s="156" t="s">
        <v>1004</v>
      </c>
      <c r="Q245" s="156"/>
      <c r="R245" s="158" t="s">
        <v>93</v>
      </c>
      <c r="S245" s="156"/>
      <c r="T245" s="155" t="s">
        <v>261</v>
      </c>
    </row>
    <row r="246" spans="1:20" ht="31.5" customHeight="1" x14ac:dyDescent="0.5">
      <c r="A246" s="160" t="s">
        <v>87</v>
      </c>
      <c r="B246" s="160"/>
      <c r="C246" s="159" t="s">
        <v>620</v>
      </c>
      <c r="D246" s="160" t="s">
        <v>282</v>
      </c>
      <c r="E246" s="160" t="s">
        <v>277</v>
      </c>
      <c r="F246" s="160" t="s">
        <v>1087</v>
      </c>
      <c r="G246" s="160" t="s">
        <v>998</v>
      </c>
      <c r="H246" s="160" t="s">
        <v>81</v>
      </c>
      <c r="I246" s="160" t="s">
        <v>619</v>
      </c>
      <c r="J246" s="160" t="s">
        <v>1005</v>
      </c>
      <c r="K246" s="161">
        <v>5</v>
      </c>
      <c r="L246" s="160" t="s">
        <v>983</v>
      </c>
      <c r="M246" s="160" t="s">
        <v>826</v>
      </c>
      <c r="N246" s="160" t="s">
        <v>1082</v>
      </c>
      <c r="O246" s="160" t="s">
        <v>1081</v>
      </c>
      <c r="P246" s="160" t="s">
        <v>1004</v>
      </c>
      <c r="Q246" s="160"/>
      <c r="R246" s="162" t="s">
        <v>278</v>
      </c>
      <c r="S246" s="160"/>
      <c r="T246" s="159" t="s">
        <v>261</v>
      </c>
    </row>
    <row r="247" spans="1:20" ht="52.5" customHeight="1" x14ac:dyDescent="0.5">
      <c r="A247" s="156" t="s">
        <v>87</v>
      </c>
      <c r="B247" s="156"/>
      <c r="C247" s="155" t="s">
        <v>622</v>
      </c>
      <c r="D247" s="156" t="s">
        <v>282</v>
      </c>
      <c r="E247" s="156" t="s">
        <v>277</v>
      </c>
      <c r="F247" s="156" t="s">
        <v>1087</v>
      </c>
      <c r="G247" s="156" t="s">
        <v>998</v>
      </c>
      <c r="H247" s="156" t="s">
        <v>81</v>
      </c>
      <c r="I247" s="156" t="s">
        <v>621</v>
      </c>
      <c r="J247" s="156" t="s">
        <v>1005</v>
      </c>
      <c r="K247" s="157">
        <v>15</v>
      </c>
      <c r="L247" s="156" t="s">
        <v>1073</v>
      </c>
      <c r="M247" s="156" t="s">
        <v>826</v>
      </c>
      <c r="N247" s="156" t="s">
        <v>1081</v>
      </c>
      <c r="O247" s="156" t="s">
        <v>1080</v>
      </c>
      <c r="P247" s="156" t="s">
        <v>1004</v>
      </c>
      <c r="Q247" s="156"/>
      <c r="R247" s="158" t="s">
        <v>278</v>
      </c>
      <c r="S247" s="156"/>
      <c r="T247" s="155" t="s">
        <v>261</v>
      </c>
    </row>
    <row r="248" spans="1:20" ht="31.5" customHeight="1" x14ac:dyDescent="0.5">
      <c r="A248" s="160" t="s">
        <v>87</v>
      </c>
      <c r="B248" s="160"/>
      <c r="C248" s="159" t="s">
        <v>624</v>
      </c>
      <c r="D248" s="160" t="s">
        <v>282</v>
      </c>
      <c r="E248" s="160" t="s">
        <v>277</v>
      </c>
      <c r="F248" s="160" t="s">
        <v>1087</v>
      </c>
      <c r="G248" s="160" t="s">
        <v>998</v>
      </c>
      <c r="H248" s="160" t="s">
        <v>81</v>
      </c>
      <c r="I248" s="160" t="s">
        <v>623</v>
      </c>
      <c r="J248" s="160" t="s">
        <v>1005</v>
      </c>
      <c r="K248" s="161">
        <v>15</v>
      </c>
      <c r="L248" s="160" t="s">
        <v>1061</v>
      </c>
      <c r="M248" s="160" t="s">
        <v>826</v>
      </c>
      <c r="N248" s="160" t="s">
        <v>1081</v>
      </c>
      <c r="O248" s="160" t="s">
        <v>1080</v>
      </c>
      <c r="P248" s="160" t="s">
        <v>1004</v>
      </c>
      <c r="Q248" s="160"/>
      <c r="R248" s="162" t="s">
        <v>278</v>
      </c>
      <c r="S248" s="160"/>
      <c r="T248" s="159" t="s">
        <v>261</v>
      </c>
    </row>
    <row r="249" spans="1:20" ht="31.5" customHeight="1" x14ac:dyDescent="0.5">
      <c r="A249" s="156" t="s">
        <v>87</v>
      </c>
      <c r="B249" s="156"/>
      <c r="C249" s="155" t="s">
        <v>625</v>
      </c>
      <c r="D249" s="156" t="s">
        <v>282</v>
      </c>
      <c r="E249" s="156" t="s">
        <v>277</v>
      </c>
      <c r="F249" s="156" t="s">
        <v>1087</v>
      </c>
      <c r="G249" s="156" t="s">
        <v>826</v>
      </c>
      <c r="H249" s="156" t="s">
        <v>81</v>
      </c>
      <c r="I249" s="156" t="s">
        <v>26</v>
      </c>
      <c r="J249" s="156" t="s">
        <v>1005</v>
      </c>
      <c r="K249" s="157">
        <v>16</v>
      </c>
      <c r="L249" s="156" t="s">
        <v>847</v>
      </c>
      <c r="M249" s="156" t="s">
        <v>826</v>
      </c>
      <c r="N249" s="156" t="s">
        <v>1087</v>
      </c>
      <c r="O249" s="156" t="s">
        <v>1080</v>
      </c>
      <c r="P249" s="156" t="s">
        <v>1049</v>
      </c>
      <c r="Q249" s="156">
        <v>2.64</v>
      </c>
      <c r="R249" s="158"/>
      <c r="S249" s="156"/>
      <c r="T249" s="155" t="s">
        <v>261</v>
      </c>
    </row>
    <row r="250" spans="1:20" ht="31.5" customHeight="1" x14ac:dyDescent="0.5">
      <c r="A250" s="160" t="s">
        <v>87</v>
      </c>
      <c r="B250" s="160"/>
      <c r="C250" s="159" t="s">
        <v>627</v>
      </c>
      <c r="D250" s="160" t="s">
        <v>282</v>
      </c>
      <c r="E250" s="160" t="s">
        <v>277</v>
      </c>
      <c r="F250" s="160" t="s">
        <v>1087</v>
      </c>
      <c r="G250" s="160" t="s">
        <v>998</v>
      </c>
      <c r="H250" s="160" t="s">
        <v>81</v>
      </c>
      <c r="I250" s="160" t="s">
        <v>626</v>
      </c>
      <c r="J250" s="160" t="s">
        <v>1005</v>
      </c>
      <c r="K250" s="161">
        <v>15</v>
      </c>
      <c r="L250" s="160" t="s">
        <v>1000</v>
      </c>
      <c r="M250" s="160" t="s">
        <v>826</v>
      </c>
      <c r="N250" s="160" t="s">
        <v>1076</v>
      </c>
      <c r="O250" s="160" t="s">
        <v>1080</v>
      </c>
      <c r="P250" s="160" t="s">
        <v>1004</v>
      </c>
      <c r="Q250" s="160"/>
      <c r="R250" s="162" t="s">
        <v>295</v>
      </c>
      <c r="S250" s="160"/>
      <c r="T250" s="159" t="s">
        <v>261</v>
      </c>
    </row>
    <row r="251" spans="1:20" ht="31.5" customHeight="1" x14ac:dyDescent="0.5">
      <c r="A251" s="156" t="s">
        <v>87</v>
      </c>
      <c r="B251" s="156"/>
      <c r="C251" s="155" t="s">
        <v>629</v>
      </c>
      <c r="D251" s="156" t="s">
        <v>282</v>
      </c>
      <c r="E251" s="156" t="s">
        <v>277</v>
      </c>
      <c r="F251" s="156" t="s">
        <v>1087</v>
      </c>
      <c r="G251" s="156" t="s">
        <v>998</v>
      </c>
      <c r="H251" s="156" t="s">
        <v>81</v>
      </c>
      <c r="I251" s="156" t="s">
        <v>628</v>
      </c>
      <c r="J251" s="156" t="s">
        <v>1005</v>
      </c>
      <c r="K251" s="157">
        <v>15</v>
      </c>
      <c r="L251" s="156" t="s">
        <v>816</v>
      </c>
      <c r="M251" s="156" t="s">
        <v>826</v>
      </c>
      <c r="N251" s="156" t="s">
        <v>1076</v>
      </c>
      <c r="O251" s="156" t="s">
        <v>1080</v>
      </c>
      <c r="P251" s="156" t="s">
        <v>1004</v>
      </c>
      <c r="Q251" s="156"/>
      <c r="R251" s="158" t="s">
        <v>295</v>
      </c>
      <c r="S251" s="156"/>
      <c r="T251" s="155" t="s">
        <v>261</v>
      </c>
    </row>
    <row r="252" spans="1:20" ht="42" customHeight="1" x14ac:dyDescent="0.5">
      <c r="A252" s="160" t="s">
        <v>553</v>
      </c>
      <c r="B252" s="160"/>
      <c r="C252" s="159" t="s">
        <v>630</v>
      </c>
      <c r="D252" s="160" t="s">
        <v>282</v>
      </c>
      <c r="E252" s="160" t="s">
        <v>277</v>
      </c>
      <c r="F252" s="160" t="s">
        <v>1123</v>
      </c>
      <c r="G252" s="160" t="s">
        <v>1124</v>
      </c>
      <c r="H252" s="160" t="s">
        <v>81</v>
      </c>
      <c r="I252" s="160" t="s">
        <v>352</v>
      </c>
      <c r="J252" s="160" t="s">
        <v>110</v>
      </c>
      <c r="K252" s="161">
        <v>40</v>
      </c>
      <c r="L252" s="160" t="s">
        <v>916</v>
      </c>
      <c r="M252" s="160" t="s">
        <v>826</v>
      </c>
      <c r="N252" s="160" t="s">
        <v>1083</v>
      </c>
      <c r="O252" s="160" t="s">
        <v>1083</v>
      </c>
      <c r="P252" s="160" t="s">
        <v>999</v>
      </c>
      <c r="Q252" s="160"/>
      <c r="R252" s="162" t="s">
        <v>93</v>
      </c>
      <c r="S252" s="160"/>
      <c r="T252" s="159" t="s">
        <v>261</v>
      </c>
    </row>
    <row r="253" spans="1:20" ht="42" customHeight="1" x14ac:dyDescent="0.5">
      <c r="A253" s="156" t="s">
        <v>359</v>
      </c>
      <c r="B253" s="156"/>
      <c r="C253" s="155" t="s">
        <v>631</v>
      </c>
      <c r="D253" s="156" t="s">
        <v>288</v>
      </c>
      <c r="E253" s="156" t="s">
        <v>277</v>
      </c>
      <c r="F253" s="156" t="s">
        <v>1123</v>
      </c>
      <c r="G253" s="156" t="s">
        <v>938</v>
      </c>
      <c r="H253" s="156" t="s">
        <v>81</v>
      </c>
      <c r="I253" s="156" t="s">
        <v>352</v>
      </c>
      <c r="J253" s="156" t="s">
        <v>110</v>
      </c>
      <c r="K253" s="157">
        <v>5</v>
      </c>
      <c r="L253" s="156" t="s">
        <v>1073</v>
      </c>
      <c r="M253" s="156" t="s">
        <v>826</v>
      </c>
      <c r="N253" s="156" t="s">
        <v>1076</v>
      </c>
      <c r="O253" s="156" t="s">
        <v>1082</v>
      </c>
      <c r="P253" s="156" t="s">
        <v>999</v>
      </c>
      <c r="Q253" s="156"/>
      <c r="R253" s="158" t="s">
        <v>295</v>
      </c>
      <c r="S253" s="156"/>
      <c r="T253" s="155" t="s">
        <v>261</v>
      </c>
    </row>
    <row r="254" spans="1:20" ht="42" customHeight="1" x14ac:dyDescent="0.5">
      <c r="A254" s="160" t="s">
        <v>359</v>
      </c>
      <c r="B254" s="160"/>
      <c r="C254" s="159" t="s">
        <v>1125</v>
      </c>
      <c r="D254" s="160" t="s">
        <v>288</v>
      </c>
      <c r="E254" s="160" t="s">
        <v>820</v>
      </c>
      <c r="F254" s="160" t="s">
        <v>1123</v>
      </c>
      <c r="G254" s="160" t="s">
        <v>938</v>
      </c>
      <c r="H254" s="160" t="s">
        <v>81</v>
      </c>
      <c r="I254" s="160" t="s">
        <v>352</v>
      </c>
      <c r="J254" s="160" t="s">
        <v>110</v>
      </c>
      <c r="K254" s="161">
        <v>5</v>
      </c>
      <c r="L254" s="160"/>
      <c r="M254" s="160"/>
      <c r="N254" s="160"/>
      <c r="O254" s="160"/>
      <c r="P254" s="160"/>
      <c r="Q254" s="160"/>
      <c r="R254" s="162"/>
      <c r="S254" s="160"/>
      <c r="T254" s="159" t="s">
        <v>261</v>
      </c>
    </row>
    <row r="255" spans="1:20" ht="73.5" customHeight="1" x14ac:dyDescent="0.5">
      <c r="A255" s="156" t="s">
        <v>453</v>
      </c>
      <c r="B255" s="156"/>
      <c r="C255" s="155" t="s">
        <v>633</v>
      </c>
      <c r="D255" s="156" t="s">
        <v>282</v>
      </c>
      <c r="E255" s="156" t="s">
        <v>277</v>
      </c>
      <c r="F255" s="156" t="s">
        <v>1126</v>
      </c>
      <c r="G255" s="156" t="s">
        <v>826</v>
      </c>
      <c r="H255" s="156" t="s">
        <v>81</v>
      </c>
      <c r="I255" s="156" t="s">
        <v>632</v>
      </c>
      <c r="J255" s="156" t="s">
        <v>110</v>
      </c>
      <c r="K255" s="157">
        <v>2</v>
      </c>
      <c r="L255" s="156" t="s">
        <v>1000</v>
      </c>
      <c r="M255" s="156" t="s">
        <v>826</v>
      </c>
      <c r="N255" s="156" t="s">
        <v>1087</v>
      </c>
      <c r="O255" s="156" t="s">
        <v>1088</v>
      </c>
      <c r="P255" s="156" t="s">
        <v>1004</v>
      </c>
      <c r="Q255" s="156"/>
      <c r="R255" s="158" t="s">
        <v>278</v>
      </c>
      <c r="S255" s="156"/>
      <c r="T255" s="155" t="s">
        <v>261</v>
      </c>
    </row>
    <row r="256" spans="1:20" ht="73.5" customHeight="1" x14ac:dyDescent="0.5">
      <c r="A256" s="160" t="s">
        <v>453</v>
      </c>
      <c r="B256" s="160"/>
      <c r="C256" s="159" t="s">
        <v>634</v>
      </c>
      <c r="D256" s="160" t="s">
        <v>282</v>
      </c>
      <c r="E256" s="160" t="s">
        <v>277</v>
      </c>
      <c r="F256" s="160" t="s">
        <v>1126</v>
      </c>
      <c r="G256" s="160" t="s">
        <v>826</v>
      </c>
      <c r="H256" s="160" t="s">
        <v>81</v>
      </c>
      <c r="I256" s="160" t="s">
        <v>632</v>
      </c>
      <c r="J256" s="160" t="s">
        <v>110</v>
      </c>
      <c r="K256" s="161">
        <v>2</v>
      </c>
      <c r="L256" s="160" t="s">
        <v>842</v>
      </c>
      <c r="M256" s="160" t="s">
        <v>826</v>
      </c>
      <c r="N256" s="160" t="s">
        <v>1087</v>
      </c>
      <c r="O256" s="160" t="s">
        <v>1088</v>
      </c>
      <c r="P256" s="160" t="s">
        <v>1004</v>
      </c>
      <c r="Q256" s="160"/>
      <c r="R256" s="162" t="s">
        <v>278</v>
      </c>
      <c r="S256" s="160"/>
      <c r="T256" s="159" t="s">
        <v>261</v>
      </c>
    </row>
    <row r="257" spans="1:20" ht="63" customHeight="1" x14ac:dyDescent="0.5">
      <c r="A257" s="156" t="s">
        <v>453</v>
      </c>
      <c r="B257" s="156"/>
      <c r="C257" s="155" t="s">
        <v>636</v>
      </c>
      <c r="D257" s="156" t="s">
        <v>282</v>
      </c>
      <c r="E257" s="156" t="s">
        <v>277</v>
      </c>
      <c r="F257" s="156" t="s">
        <v>1126</v>
      </c>
      <c r="G257" s="156" t="s">
        <v>826</v>
      </c>
      <c r="H257" s="156" t="s">
        <v>81</v>
      </c>
      <c r="I257" s="156" t="s">
        <v>635</v>
      </c>
      <c r="J257" s="156" t="s">
        <v>110</v>
      </c>
      <c r="K257" s="157">
        <v>6</v>
      </c>
      <c r="L257" s="156" t="s">
        <v>1000</v>
      </c>
      <c r="M257" s="156" t="s">
        <v>826</v>
      </c>
      <c r="N257" s="156" t="s">
        <v>1087</v>
      </c>
      <c r="O257" s="156" t="s">
        <v>1086</v>
      </c>
      <c r="P257" s="156" t="s">
        <v>1004</v>
      </c>
      <c r="Q257" s="156"/>
      <c r="R257" s="158" t="s">
        <v>295</v>
      </c>
      <c r="S257" s="156"/>
      <c r="T257" s="155" t="s">
        <v>261</v>
      </c>
    </row>
    <row r="258" spans="1:20" ht="63" customHeight="1" x14ac:dyDescent="0.5">
      <c r="A258" s="160" t="s">
        <v>453</v>
      </c>
      <c r="B258" s="160"/>
      <c r="C258" s="159" t="s">
        <v>637</v>
      </c>
      <c r="D258" s="160" t="s">
        <v>282</v>
      </c>
      <c r="E258" s="160" t="s">
        <v>277</v>
      </c>
      <c r="F258" s="160" t="s">
        <v>1126</v>
      </c>
      <c r="G258" s="160" t="s">
        <v>826</v>
      </c>
      <c r="H258" s="160" t="s">
        <v>81</v>
      </c>
      <c r="I258" s="160" t="s">
        <v>635</v>
      </c>
      <c r="J258" s="160" t="s">
        <v>110</v>
      </c>
      <c r="K258" s="161">
        <v>6</v>
      </c>
      <c r="L258" s="160" t="s">
        <v>1000</v>
      </c>
      <c r="M258" s="160" t="s">
        <v>826</v>
      </c>
      <c r="N258" s="160" t="s">
        <v>1087</v>
      </c>
      <c r="O258" s="160" t="s">
        <v>1087</v>
      </c>
      <c r="P258" s="160" t="s">
        <v>1004</v>
      </c>
      <c r="Q258" s="160"/>
      <c r="R258" s="162" t="s">
        <v>278</v>
      </c>
      <c r="S258" s="160"/>
      <c r="T258" s="159" t="s">
        <v>261</v>
      </c>
    </row>
    <row r="259" spans="1:20" ht="63" customHeight="1" x14ac:dyDescent="0.5">
      <c r="A259" s="156" t="s">
        <v>87</v>
      </c>
      <c r="B259" s="156"/>
      <c r="C259" s="155" t="s">
        <v>638</v>
      </c>
      <c r="D259" s="156" t="s">
        <v>282</v>
      </c>
      <c r="E259" s="156" t="s">
        <v>277</v>
      </c>
      <c r="F259" s="156" t="s">
        <v>1126</v>
      </c>
      <c r="G259" s="156" t="s">
        <v>826</v>
      </c>
      <c r="H259" s="156" t="s">
        <v>81</v>
      </c>
      <c r="I259" s="156" t="s">
        <v>488</v>
      </c>
      <c r="J259" s="156" t="s">
        <v>1005</v>
      </c>
      <c r="K259" s="157">
        <v>2</v>
      </c>
      <c r="L259" s="156" t="s">
        <v>917</v>
      </c>
      <c r="M259" s="156" t="s">
        <v>826</v>
      </c>
      <c r="N259" s="156" t="s">
        <v>1087</v>
      </c>
      <c r="O259" s="156" t="s">
        <v>1088</v>
      </c>
      <c r="P259" s="156" t="s">
        <v>1031</v>
      </c>
      <c r="Q259" s="156"/>
      <c r="R259" s="158" t="s">
        <v>278</v>
      </c>
      <c r="S259" s="156" t="s">
        <v>840</v>
      </c>
      <c r="T259" s="155" t="s">
        <v>261</v>
      </c>
    </row>
    <row r="260" spans="1:20" ht="31.5" customHeight="1" x14ac:dyDescent="0.5">
      <c r="A260" s="160" t="s">
        <v>87</v>
      </c>
      <c r="B260" s="160"/>
      <c r="C260" s="159" t="s">
        <v>639</v>
      </c>
      <c r="D260" s="160" t="s">
        <v>282</v>
      </c>
      <c r="E260" s="160" t="s">
        <v>277</v>
      </c>
      <c r="F260" s="160" t="s">
        <v>1126</v>
      </c>
      <c r="G260" s="160" t="s">
        <v>831</v>
      </c>
      <c r="H260" s="160" t="s">
        <v>81</v>
      </c>
      <c r="I260" s="160" t="s">
        <v>303</v>
      </c>
      <c r="J260" s="160" t="s">
        <v>859</v>
      </c>
      <c r="K260" s="161">
        <v>15</v>
      </c>
      <c r="L260" s="160" t="s">
        <v>1127</v>
      </c>
      <c r="M260" s="160" t="s">
        <v>812</v>
      </c>
      <c r="N260" s="160" t="s">
        <v>887</v>
      </c>
      <c r="O260" s="160" t="s">
        <v>881</v>
      </c>
      <c r="P260" s="160" t="s">
        <v>881</v>
      </c>
      <c r="Q260" s="160"/>
      <c r="R260" s="162"/>
      <c r="S260" s="160"/>
      <c r="T260" s="159" t="s">
        <v>261</v>
      </c>
    </row>
    <row r="261" spans="1:20" ht="31.5" customHeight="1" x14ac:dyDescent="0.5">
      <c r="A261" s="156" t="s">
        <v>87</v>
      </c>
      <c r="B261" s="156"/>
      <c r="C261" s="155" t="s">
        <v>640</v>
      </c>
      <c r="D261" s="156" t="s">
        <v>282</v>
      </c>
      <c r="E261" s="156" t="s">
        <v>277</v>
      </c>
      <c r="F261" s="156" t="s">
        <v>1126</v>
      </c>
      <c r="G261" s="156" t="s">
        <v>831</v>
      </c>
      <c r="H261" s="156" t="s">
        <v>81</v>
      </c>
      <c r="I261" s="156" t="s">
        <v>303</v>
      </c>
      <c r="J261" s="156" t="s">
        <v>859</v>
      </c>
      <c r="K261" s="157">
        <v>27</v>
      </c>
      <c r="L261" s="156" t="s">
        <v>1084</v>
      </c>
      <c r="M261" s="156" t="s">
        <v>812</v>
      </c>
      <c r="N261" s="156" t="s">
        <v>887</v>
      </c>
      <c r="O261" s="156" t="s">
        <v>881</v>
      </c>
      <c r="P261" s="156" t="s">
        <v>881</v>
      </c>
      <c r="Q261" s="156"/>
      <c r="R261" s="158"/>
      <c r="S261" s="156"/>
      <c r="T261" s="155" t="s">
        <v>261</v>
      </c>
    </row>
    <row r="262" spans="1:20" ht="31.5" customHeight="1" x14ac:dyDescent="0.5">
      <c r="A262" s="160" t="s">
        <v>87</v>
      </c>
      <c r="B262" s="160"/>
      <c r="C262" s="159" t="s">
        <v>641</v>
      </c>
      <c r="D262" s="160" t="s">
        <v>282</v>
      </c>
      <c r="E262" s="160" t="s">
        <v>277</v>
      </c>
      <c r="F262" s="160" t="s">
        <v>1128</v>
      </c>
      <c r="G262" s="160" t="s">
        <v>831</v>
      </c>
      <c r="H262" s="160" t="s">
        <v>81</v>
      </c>
      <c r="I262" s="160" t="s">
        <v>303</v>
      </c>
      <c r="J262" s="160" t="s">
        <v>859</v>
      </c>
      <c r="K262" s="161">
        <v>7</v>
      </c>
      <c r="L262" s="160" t="s">
        <v>1084</v>
      </c>
      <c r="M262" s="160" t="s">
        <v>812</v>
      </c>
      <c r="N262" s="160" t="s">
        <v>887</v>
      </c>
      <c r="O262" s="160" t="s">
        <v>881</v>
      </c>
      <c r="P262" s="160" t="s">
        <v>881</v>
      </c>
      <c r="Q262" s="160"/>
      <c r="R262" s="162"/>
      <c r="S262" s="160"/>
      <c r="T262" s="159" t="s">
        <v>261</v>
      </c>
    </row>
    <row r="263" spans="1:20" ht="31.5" customHeight="1" x14ac:dyDescent="0.5">
      <c r="A263" s="156" t="s">
        <v>87</v>
      </c>
      <c r="B263" s="156"/>
      <c r="C263" s="155" t="s">
        <v>642</v>
      </c>
      <c r="D263" s="156" t="s">
        <v>282</v>
      </c>
      <c r="E263" s="156" t="s">
        <v>277</v>
      </c>
      <c r="F263" s="156" t="s">
        <v>1128</v>
      </c>
      <c r="G263" s="156" t="s">
        <v>831</v>
      </c>
      <c r="H263" s="156" t="s">
        <v>81</v>
      </c>
      <c r="I263" s="156" t="s">
        <v>303</v>
      </c>
      <c r="J263" s="156" t="s">
        <v>859</v>
      </c>
      <c r="K263" s="157">
        <v>40</v>
      </c>
      <c r="L263" s="156" t="s">
        <v>1084</v>
      </c>
      <c r="M263" s="156" t="s">
        <v>812</v>
      </c>
      <c r="N263" s="156" t="s">
        <v>887</v>
      </c>
      <c r="O263" s="156" t="s">
        <v>881</v>
      </c>
      <c r="P263" s="156" t="s">
        <v>881</v>
      </c>
      <c r="Q263" s="156"/>
      <c r="R263" s="158"/>
      <c r="S263" s="156"/>
      <c r="T263" s="155" t="s">
        <v>261</v>
      </c>
    </row>
    <row r="264" spans="1:20" ht="52.5" customHeight="1" x14ac:dyDescent="0.5">
      <c r="A264" s="160" t="s">
        <v>453</v>
      </c>
      <c r="B264" s="160"/>
      <c r="C264" s="159" t="s">
        <v>644</v>
      </c>
      <c r="D264" s="160" t="s">
        <v>282</v>
      </c>
      <c r="E264" s="160" t="s">
        <v>277</v>
      </c>
      <c r="F264" s="160" t="s">
        <v>1129</v>
      </c>
      <c r="G264" s="160" t="s">
        <v>826</v>
      </c>
      <c r="H264" s="160" t="s">
        <v>81</v>
      </c>
      <c r="I264" s="160" t="s">
        <v>643</v>
      </c>
      <c r="J264" s="160" t="s">
        <v>110</v>
      </c>
      <c r="K264" s="161">
        <v>2</v>
      </c>
      <c r="L264" s="160" t="s">
        <v>932</v>
      </c>
      <c r="M264" s="160" t="s">
        <v>826</v>
      </c>
      <c r="N264" s="160" t="s">
        <v>1128</v>
      </c>
      <c r="O264" s="160" t="s">
        <v>1126</v>
      </c>
      <c r="P264" s="160" t="s">
        <v>999</v>
      </c>
      <c r="Q264" s="160"/>
      <c r="R264" s="162" t="s">
        <v>93</v>
      </c>
      <c r="S264" s="160"/>
      <c r="T264" s="159" t="s">
        <v>261</v>
      </c>
    </row>
    <row r="265" spans="1:20" ht="52.5" customHeight="1" x14ac:dyDescent="0.5">
      <c r="A265" s="156" t="s">
        <v>453</v>
      </c>
      <c r="B265" s="156"/>
      <c r="C265" s="155" t="s">
        <v>645</v>
      </c>
      <c r="D265" s="156" t="s">
        <v>282</v>
      </c>
      <c r="E265" s="156" t="s">
        <v>277</v>
      </c>
      <c r="F265" s="156" t="s">
        <v>1130</v>
      </c>
      <c r="G265" s="156" t="s">
        <v>826</v>
      </c>
      <c r="H265" s="156" t="s">
        <v>81</v>
      </c>
      <c r="I265" s="156" t="s">
        <v>643</v>
      </c>
      <c r="J265" s="156" t="s">
        <v>110</v>
      </c>
      <c r="K265" s="157">
        <v>2</v>
      </c>
      <c r="L265" s="156" t="s">
        <v>932</v>
      </c>
      <c r="M265" s="156" t="s">
        <v>826</v>
      </c>
      <c r="N265" s="156" t="s">
        <v>1128</v>
      </c>
      <c r="O265" s="156" t="s">
        <v>1126</v>
      </c>
      <c r="P265" s="156" t="s">
        <v>1004</v>
      </c>
      <c r="Q265" s="156"/>
      <c r="R265" s="158" t="s">
        <v>278</v>
      </c>
      <c r="S265" s="156"/>
      <c r="T265" s="155" t="s">
        <v>261</v>
      </c>
    </row>
    <row r="266" spans="1:20" ht="31.5" customHeight="1" x14ac:dyDescent="0.5">
      <c r="A266" s="160" t="s">
        <v>646</v>
      </c>
      <c r="B266" s="160"/>
      <c r="C266" s="159" t="s">
        <v>648</v>
      </c>
      <c r="D266" s="160" t="s">
        <v>288</v>
      </c>
      <c r="E266" s="160" t="s">
        <v>277</v>
      </c>
      <c r="F266" s="160" t="s">
        <v>1130</v>
      </c>
      <c r="G266" s="160" t="s">
        <v>831</v>
      </c>
      <c r="H266" s="160" t="s">
        <v>81</v>
      </c>
      <c r="I266" s="160" t="s">
        <v>647</v>
      </c>
      <c r="J266" s="160" t="s">
        <v>810</v>
      </c>
      <c r="K266" s="161">
        <v>1</v>
      </c>
      <c r="L266" s="160" t="s">
        <v>1131</v>
      </c>
      <c r="M266" s="160" t="s">
        <v>1132</v>
      </c>
      <c r="N266" s="160" t="s">
        <v>1133</v>
      </c>
      <c r="O266" s="160" t="s">
        <v>1133</v>
      </c>
      <c r="P266" s="160" t="s">
        <v>883</v>
      </c>
      <c r="Q266" s="160"/>
      <c r="R266" s="162"/>
      <c r="S266" s="160"/>
      <c r="T266" s="159" t="s">
        <v>261</v>
      </c>
    </row>
    <row r="267" spans="1:20" ht="31.5" customHeight="1" x14ac:dyDescent="0.5">
      <c r="A267" s="156" t="s">
        <v>87</v>
      </c>
      <c r="B267" s="156"/>
      <c r="C267" s="155" t="s">
        <v>649</v>
      </c>
      <c r="D267" s="156" t="s">
        <v>282</v>
      </c>
      <c r="E267" s="156" t="s">
        <v>277</v>
      </c>
      <c r="F267" s="156" t="s">
        <v>1134</v>
      </c>
      <c r="G267" s="156" t="s">
        <v>831</v>
      </c>
      <c r="H267" s="156" t="s">
        <v>81</v>
      </c>
      <c r="I267" s="156" t="s">
        <v>303</v>
      </c>
      <c r="J267" s="156" t="s">
        <v>859</v>
      </c>
      <c r="K267" s="157">
        <v>26</v>
      </c>
      <c r="L267" s="156" t="s">
        <v>1127</v>
      </c>
      <c r="M267" s="156" t="s">
        <v>812</v>
      </c>
      <c r="N267" s="156" t="s">
        <v>887</v>
      </c>
      <c r="O267" s="156" t="s">
        <v>1135</v>
      </c>
      <c r="P267" s="156" t="s">
        <v>1135</v>
      </c>
      <c r="Q267" s="156"/>
      <c r="R267" s="158"/>
      <c r="S267" s="156"/>
      <c r="T267" s="155" t="s">
        <v>261</v>
      </c>
    </row>
    <row r="268" spans="1:20" ht="31.5" customHeight="1" x14ac:dyDescent="0.5">
      <c r="A268" s="160" t="s">
        <v>87</v>
      </c>
      <c r="B268" s="160"/>
      <c r="C268" s="159" t="s">
        <v>651</v>
      </c>
      <c r="D268" s="160" t="s">
        <v>282</v>
      </c>
      <c r="E268" s="160" t="s">
        <v>277</v>
      </c>
      <c r="F268" s="160" t="s">
        <v>1134</v>
      </c>
      <c r="G268" s="160" t="s">
        <v>831</v>
      </c>
      <c r="H268" s="160" t="s">
        <v>81</v>
      </c>
      <c r="I268" s="160" t="s">
        <v>303</v>
      </c>
      <c r="J268" s="160" t="s">
        <v>859</v>
      </c>
      <c r="K268" s="161">
        <v>12</v>
      </c>
      <c r="L268" s="160" t="s">
        <v>1127</v>
      </c>
      <c r="M268" s="160" t="s">
        <v>812</v>
      </c>
      <c r="N268" s="160" t="s">
        <v>887</v>
      </c>
      <c r="O268" s="160" t="s">
        <v>1136</v>
      </c>
      <c r="P268" s="160" t="s">
        <v>1136</v>
      </c>
      <c r="Q268" s="160"/>
      <c r="R268" s="162"/>
      <c r="S268" s="160"/>
      <c r="T268" s="159" t="s">
        <v>261</v>
      </c>
    </row>
    <row r="269" spans="1:20" ht="31.5" customHeight="1" x14ac:dyDescent="0.5">
      <c r="A269" s="156" t="s">
        <v>359</v>
      </c>
      <c r="B269" s="156"/>
      <c r="C269" s="155" t="s">
        <v>653</v>
      </c>
      <c r="D269" s="156" t="s">
        <v>288</v>
      </c>
      <c r="E269" s="156" t="s">
        <v>277</v>
      </c>
      <c r="F269" s="156" t="s">
        <v>1137</v>
      </c>
      <c r="G269" s="156" t="s">
        <v>938</v>
      </c>
      <c r="H269" s="156" t="s">
        <v>81</v>
      </c>
      <c r="I269" s="156" t="s">
        <v>248</v>
      </c>
      <c r="J269" s="156" t="s">
        <v>110</v>
      </c>
      <c r="K269" s="157">
        <v>5</v>
      </c>
      <c r="L269" s="156" t="s">
        <v>842</v>
      </c>
      <c r="M269" s="156" t="s">
        <v>826</v>
      </c>
      <c r="N269" s="156" t="s">
        <v>1128</v>
      </c>
      <c r="O269" s="156" t="s">
        <v>1138</v>
      </c>
      <c r="P269" s="156" t="s">
        <v>999</v>
      </c>
      <c r="Q269" s="156"/>
      <c r="R269" s="158" t="s">
        <v>295</v>
      </c>
      <c r="S269" s="156"/>
      <c r="T269" s="155" t="s">
        <v>261</v>
      </c>
    </row>
    <row r="270" spans="1:20" ht="31.5" customHeight="1" x14ac:dyDescent="0.5">
      <c r="A270" s="160" t="s">
        <v>654</v>
      </c>
      <c r="B270" s="160"/>
      <c r="C270" s="159" t="s">
        <v>655</v>
      </c>
      <c r="D270" s="160" t="s">
        <v>288</v>
      </c>
      <c r="E270" s="160" t="s">
        <v>277</v>
      </c>
      <c r="F270" s="160" t="s">
        <v>1139</v>
      </c>
      <c r="G270" s="160" t="s">
        <v>831</v>
      </c>
      <c r="H270" s="160" t="s">
        <v>81</v>
      </c>
      <c r="I270" s="160" t="s">
        <v>303</v>
      </c>
      <c r="J270" s="160" t="s">
        <v>859</v>
      </c>
      <c r="K270" s="161">
        <v>1</v>
      </c>
      <c r="L270" s="160" t="s">
        <v>1127</v>
      </c>
      <c r="M270" s="160" t="s">
        <v>812</v>
      </c>
      <c r="N270" s="160" t="s">
        <v>887</v>
      </c>
      <c r="O270" s="160" t="s">
        <v>1136</v>
      </c>
      <c r="P270" s="160" t="s">
        <v>1136</v>
      </c>
      <c r="Q270" s="160"/>
      <c r="R270" s="162"/>
      <c r="S270" s="160"/>
      <c r="T270" s="159" t="s">
        <v>261</v>
      </c>
    </row>
    <row r="271" spans="1:20" ht="52.5" customHeight="1" x14ac:dyDescent="0.5">
      <c r="A271" s="156" t="s">
        <v>453</v>
      </c>
      <c r="B271" s="156"/>
      <c r="C271" s="155" t="s">
        <v>656</v>
      </c>
      <c r="D271" s="156" t="s">
        <v>282</v>
      </c>
      <c r="E271" s="156" t="s">
        <v>277</v>
      </c>
      <c r="F271" s="156" t="s">
        <v>1140</v>
      </c>
      <c r="G271" s="156" t="s">
        <v>826</v>
      </c>
      <c r="H271" s="156" t="s">
        <v>81</v>
      </c>
      <c r="I271" s="156" t="s">
        <v>471</v>
      </c>
      <c r="J271" s="156" t="s">
        <v>110</v>
      </c>
      <c r="K271" s="157">
        <v>2</v>
      </c>
      <c r="L271" s="156" t="s">
        <v>816</v>
      </c>
      <c r="M271" s="156" t="s">
        <v>826</v>
      </c>
      <c r="N271" s="156" t="s">
        <v>1141</v>
      </c>
      <c r="O271" s="156" t="s">
        <v>1134</v>
      </c>
      <c r="P271" s="156" t="s">
        <v>1123</v>
      </c>
      <c r="Q271" s="156"/>
      <c r="R271" s="158" t="s">
        <v>295</v>
      </c>
      <c r="S271" s="156"/>
      <c r="T271" s="155" t="s">
        <v>261</v>
      </c>
    </row>
    <row r="272" spans="1:20" ht="42" customHeight="1" x14ac:dyDescent="0.5">
      <c r="A272" s="160" t="s">
        <v>87</v>
      </c>
      <c r="B272" s="160"/>
      <c r="C272" s="159" t="s">
        <v>1142</v>
      </c>
      <c r="D272" s="160" t="s">
        <v>288</v>
      </c>
      <c r="E272" s="160" t="s">
        <v>820</v>
      </c>
      <c r="F272" s="160" t="s">
        <v>1140</v>
      </c>
      <c r="G272" s="160" t="s">
        <v>1044</v>
      </c>
      <c r="H272" s="160" t="s">
        <v>81</v>
      </c>
      <c r="I272" s="160" t="s">
        <v>352</v>
      </c>
      <c r="J272" s="160" t="s">
        <v>1005</v>
      </c>
      <c r="K272" s="161">
        <v>160</v>
      </c>
      <c r="L272" s="160"/>
      <c r="M272" s="160"/>
      <c r="N272" s="160"/>
      <c r="O272" s="160"/>
      <c r="P272" s="160"/>
      <c r="Q272" s="160"/>
      <c r="R272" s="162"/>
      <c r="S272" s="160"/>
      <c r="T272" s="159" t="s">
        <v>261</v>
      </c>
    </row>
    <row r="273" spans="1:20" ht="31.5" customHeight="1" x14ac:dyDescent="0.5">
      <c r="A273" s="156" t="s">
        <v>453</v>
      </c>
      <c r="B273" s="156"/>
      <c r="C273" s="155" t="s">
        <v>1143</v>
      </c>
      <c r="D273" s="156" t="s">
        <v>282</v>
      </c>
      <c r="E273" s="156" t="s">
        <v>820</v>
      </c>
      <c r="F273" s="156" t="s">
        <v>1144</v>
      </c>
      <c r="G273" s="156" t="s">
        <v>826</v>
      </c>
      <c r="H273" s="156" t="s">
        <v>81</v>
      </c>
      <c r="I273" s="156" t="s">
        <v>628</v>
      </c>
      <c r="J273" s="156" t="s">
        <v>110</v>
      </c>
      <c r="K273" s="157">
        <v>4</v>
      </c>
      <c r="L273" s="156"/>
      <c r="M273" s="156"/>
      <c r="N273" s="156"/>
      <c r="O273" s="156"/>
      <c r="P273" s="156"/>
      <c r="Q273" s="156"/>
      <c r="R273" s="158"/>
      <c r="S273" s="156"/>
      <c r="T273" s="155" t="s">
        <v>261</v>
      </c>
    </row>
    <row r="274" spans="1:20" ht="31.5" customHeight="1" x14ac:dyDescent="0.5">
      <c r="A274" s="160" t="s">
        <v>646</v>
      </c>
      <c r="B274" s="160"/>
      <c r="C274" s="159" t="s">
        <v>658</v>
      </c>
      <c r="D274" s="160" t="s">
        <v>288</v>
      </c>
      <c r="E274" s="160" t="s">
        <v>277</v>
      </c>
      <c r="F274" s="160" t="s">
        <v>1144</v>
      </c>
      <c r="G274" s="160" t="s">
        <v>831</v>
      </c>
      <c r="H274" s="160" t="s">
        <v>81</v>
      </c>
      <c r="I274" s="160" t="s">
        <v>392</v>
      </c>
      <c r="J274" s="160" t="s">
        <v>810</v>
      </c>
      <c r="K274" s="161">
        <v>2</v>
      </c>
      <c r="L274" s="160" t="s">
        <v>1002</v>
      </c>
      <c r="M274" s="160" t="s">
        <v>834</v>
      </c>
      <c r="N274" s="160" t="s">
        <v>888</v>
      </c>
      <c r="O274" s="160" t="s">
        <v>1137</v>
      </c>
      <c r="P274" s="160" t="s">
        <v>888</v>
      </c>
      <c r="Q274" s="160"/>
      <c r="R274" s="162"/>
      <c r="S274" s="160"/>
      <c r="T274" s="159" t="s">
        <v>261</v>
      </c>
    </row>
    <row r="275" spans="1:20" ht="31.5" customHeight="1" x14ac:dyDescent="0.5">
      <c r="A275" s="156" t="s">
        <v>654</v>
      </c>
      <c r="B275" s="156"/>
      <c r="C275" s="155" t="s">
        <v>659</v>
      </c>
      <c r="D275" s="156" t="s">
        <v>288</v>
      </c>
      <c r="E275" s="156" t="s">
        <v>277</v>
      </c>
      <c r="F275" s="156" t="s">
        <v>1145</v>
      </c>
      <c r="G275" s="156" t="s">
        <v>831</v>
      </c>
      <c r="H275" s="156" t="s">
        <v>81</v>
      </c>
      <c r="I275" s="156" t="s">
        <v>310</v>
      </c>
      <c r="J275" s="156" t="s">
        <v>810</v>
      </c>
      <c r="K275" s="157">
        <v>2</v>
      </c>
      <c r="L275" s="156" t="s">
        <v>1146</v>
      </c>
      <c r="M275" s="156" t="s">
        <v>1147</v>
      </c>
      <c r="N275" s="156" t="s">
        <v>1144</v>
      </c>
      <c r="O275" s="156" t="s">
        <v>1148</v>
      </c>
      <c r="P275" s="156" t="s">
        <v>1148</v>
      </c>
      <c r="Q275" s="156"/>
      <c r="R275" s="158"/>
      <c r="S275" s="156"/>
      <c r="T275" s="155" t="s">
        <v>261</v>
      </c>
    </row>
    <row r="276" spans="1:20" ht="52.5" customHeight="1" x14ac:dyDescent="0.5">
      <c r="A276" s="160" t="s">
        <v>453</v>
      </c>
      <c r="B276" s="160"/>
      <c r="C276" s="159" t="s">
        <v>661</v>
      </c>
      <c r="D276" s="160" t="s">
        <v>282</v>
      </c>
      <c r="E276" s="160" t="s">
        <v>277</v>
      </c>
      <c r="F276" s="160" t="s">
        <v>1149</v>
      </c>
      <c r="G276" s="160" t="s">
        <v>826</v>
      </c>
      <c r="H276" s="160" t="s">
        <v>81</v>
      </c>
      <c r="I276" s="160" t="s">
        <v>548</v>
      </c>
      <c r="J276" s="160" t="s">
        <v>1005</v>
      </c>
      <c r="K276" s="161">
        <v>4</v>
      </c>
      <c r="L276" s="160" t="s">
        <v>816</v>
      </c>
      <c r="M276" s="160" t="s">
        <v>826</v>
      </c>
      <c r="N276" s="160" t="s">
        <v>1139</v>
      </c>
      <c r="O276" s="160" t="s">
        <v>1141</v>
      </c>
      <c r="P276" s="160" t="s">
        <v>1137</v>
      </c>
      <c r="Q276" s="160"/>
      <c r="R276" s="162" t="s">
        <v>295</v>
      </c>
      <c r="S276" s="160" t="s">
        <v>840</v>
      </c>
      <c r="T276" s="159" t="s">
        <v>261</v>
      </c>
    </row>
    <row r="277" spans="1:20" ht="52.5" customHeight="1" x14ac:dyDescent="0.5">
      <c r="A277" s="156" t="s">
        <v>453</v>
      </c>
      <c r="B277" s="156"/>
      <c r="C277" s="155" t="s">
        <v>664</v>
      </c>
      <c r="D277" s="156" t="s">
        <v>282</v>
      </c>
      <c r="E277" s="156" t="s">
        <v>277</v>
      </c>
      <c r="F277" s="156" t="s">
        <v>1149</v>
      </c>
      <c r="G277" s="156" t="s">
        <v>826</v>
      </c>
      <c r="H277" s="156" t="s">
        <v>81</v>
      </c>
      <c r="I277" s="156" t="s">
        <v>663</v>
      </c>
      <c r="J277" s="156" t="s">
        <v>1005</v>
      </c>
      <c r="K277" s="157">
        <v>4</v>
      </c>
      <c r="L277" s="156" t="s">
        <v>816</v>
      </c>
      <c r="M277" s="156" t="s">
        <v>826</v>
      </c>
      <c r="N277" s="156" t="s">
        <v>1141</v>
      </c>
      <c r="O277" s="156" t="s">
        <v>1134</v>
      </c>
      <c r="P277" s="156" t="s">
        <v>1150</v>
      </c>
      <c r="Q277" s="156"/>
      <c r="R277" s="158" t="s">
        <v>93</v>
      </c>
      <c r="S277" s="156" t="s">
        <v>840</v>
      </c>
      <c r="T277" s="155" t="s">
        <v>261</v>
      </c>
    </row>
    <row r="278" spans="1:20" ht="42" customHeight="1" x14ac:dyDescent="0.5">
      <c r="A278" s="160" t="s">
        <v>453</v>
      </c>
      <c r="B278" s="160"/>
      <c r="C278" s="159" t="s">
        <v>666</v>
      </c>
      <c r="D278" s="160" t="s">
        <v>282</v>
      </c>
      <c r="E278" s="160" t="s">
        <v>277</v>
      </c>
      <c r="F278" s="160" t="s">
        <v>1149</v>
      </c>
      <c r="G278" s="160" t="s">
        <v>826</v>
      </c>
      <c r="H278" s="160" t="s">
        <v>81</v>
      </c>
      <c r="I278" s="160" t="s">
        <v>533</v>
      </c>
      <c r="J278" s="160" t="s">
        <v>1005</v>
      </c>
      <c r="K278" s="161">
        <v>4</v>
      </c>
      <c r="L278" s="160" t="s">
        <v>1073</v>
      </c>
      <c r="M278" s="160" t="s">
        <v>826</v>
      </c>
      <c r="N278" s="160" t="s">
        <v>1145</v>
      </c>
      <c r="O278" s="160" t="s">
        <v>1151</v>
      </c>
      <c r="P278" s="160" t="s">
        <v>1141</v>
      </c>
      <c r="Q278" s="160"/>
      <c r="R278" s="162" t="s">
        <v>295</v>
      </c>
      <c r="S278" s="160" t="s">
        <v>840</v>
      </c>
      <c r="T278" s="159" t="s">
        <v>261</v>
      </c>
    </row>
    <row r="279" spans="1:20" ht="31.5" customHeight="1" x14ac:dyDescent="0.5">
      <c r="A279" s="156" t="s">
        <v>453</v>
      </c>
      <c r="B279" s="156"/>
      <c r="C279" s="155" t="s">
        <v>668</v>
      </c>
      <c r="D279" s="156" t="s">
        <v>282</v>
      </c>
      <c r="E279" s="156" t="s">
        <v>277</v>
      </c>
      <c r="F279" s="156" t="s">
        <v>1149</v>
      </c>
      <c r="G279" s="156" t="s">
        <v>826</v>
      </c>
      <c r="H279" s="156" t="s">
        <v>81</v>
      </c>
      <c r="I279" s="156" t="s">
        <v>463</v>
      </c>
      <c r="J279" s="156" t="s">
        <v>1005</v>
      </c>
      <c r="K279" s="157">
        <v>6</v>
      </c>
      <c r="L279" s="156" t="s">
        <v>977</v>
      </c>
      <c r="M279" s="156" t="s">
        <v>826</v>
      </c>
      <c r="N279" s="156" t="s">
        <v>1151</v>
      </c>
      <c r="O279" s="156" t="s">
        <v>1139</v>
      </c>
      <c r="P279" s="156" t="s">
        <v>1141</v>
      </c>
      <c r="Q279" s="156"/>
      <c r="R279" s="158" t="s">
        <v>295</v>
      </c>
      <c r="S279" s="156"/>
      <c r="T279" s="155" t="s">
        <v>261</v>
      </c>
    </row>
    <row r="280" spans="1:20" ht="42" customHeight="1" x14ac:dyDescent="0.5">
      <c r="A280" s="160" t="s">
        <v>453</v>
      </c>
      <c r="B280" s="160"/>
      <c r="C280" s="159" t="s">
        <v>670</v>
      </c>
      <c r="D280" s="160" t="s">
        <v>282</v>
      </c>
      <c r="E280" s="160" t="s">
        <v>277</v>
      </c>
      <c r="F280" s="160" t="s">
        <v>1149</v>
      </c>
      <c r="G280" s="160" t="s">
        <v>826</v>
      </c>
      <c r="H280" s="160" t="s">
        <v>81</v>
      </c>
      <c r="I280" s="160" t="s">
        <v>669</v>
      </c>
      <c r="J280" s="160" t="s">
        <v>1005</v>
      </c>
      <c r="K280" s="161">
        <v>4</v>
      </c>
      <c r="L280" s="160" t="s">
        <v>1061</v>
      </c>
      <c r="M280" s="160" t="s">
        <v>826</v>
      </c>
      <c r="N280" s="160" t="s">
        <v>1140</v>
      </c>
      <c r="O280" s="160" t="s">
        <v>1137</v>
      </c>
      <c r="P280" s="160" t="s">
        <v>1123</v>
      </c>
      <c r="Q280" s="160"/>
      <c r="R280" s="162" t="s">
        <v>295</v>
      </c>
      <c r="S280" s="160" t="s">
        <v>840</v>
      </c>
      <c r="T280" s="159" t="s">
        <v>261</v>
      </c>
    </row>
    <row r="281" spans="1:20" ht="31.5" customHeight="1" x14ac:dyDescent="0.5">
      <c r="A281" s="156" t="s">
        <v>453</v>
      </c>
      <c r="B281" s="156"/>
      <c r="C281" s="155" t="s">
        <v>672</v>
      </c>
      <c r="D281" s="156" t="s">
        <v>282</v>
      </c>
      <c r="E281" s="156" t="s">
        <v>277</v>
      </c>
      <c r="F281" s="156" t="s">
        <v>1149</v>
      </c>
      <c r="G281" s="156" t="s">
        <v>826</v>
      </c>
      <c r="H281" s="156" t="s">
        <v>81</v>
      </c>
      <c r="I281" s="156" t="s">
        <v>671</v>
      </c>
      <c r="J281" s="156" t="s">
        <v>1005</v>
      </c>
      <c r="K281" s="157">
        <v>10</v>
      </c>
      <c r="L281" s="156" t="s">
        <v>1152</v>
      </c>
      <c r="M281" s="156" t="s">
        <v>826</v>
      </c>
      <c r="N281" s="156" t="s">
        <v>1141</v>
      </c>
      <c r="O281" s="156" t="s">
        <v>1137</v>
      </c>
      <c r="P281" s="156" t="s">
        <v>1123</v>
      </c>
      <c r="Q281" s="156"/>
      <c r="R281" s="158" t="s">
        <v>278</v>
      </c>
      <c r="S281" s="156"/>
      <c r="T281" s="155" t="s">
        <v>261</v>
      </c>
    </row>
    <row r="282" spans="1:20" ht="52.5" customHeight="1" x14ac:dyDescent="0.5">
      <c r="A282" s="160" t="s">
        <v>453</v>
      </c>
      <c r="B282" s="160"/>
      <c r="C282" s="159" t="s">
        <v>674</v>
      </c>
      <c r="D282" s="160" t="s">
        <v>282</v>
      </c>
      <c r="E282" s="160" t="s">
        <v>277</v>
      </c>
      <c r="F282" s="160" t="s">
        <v>1149</v>
      </c>
      <c r="G282" s="160" t="s">
        <v>826</v>
      </c>
      <c r="H282" s="160" t="s">
        <v>81</v>
      </c>
      <c r="I282" s="160" t="s">
        <v>673</v>
      </c>
      <c r="J282" s="160" t="s">
        <v>1005</v>
      </c>
      <c r="K282" s="161">
        <v>5</v>
      </c>
      <c r="L282" s="160" t="s">
        <v>1153</v>
      </c>
      <c r="M282" s="160" t="s">
        <v>826</v>
      </c>
      <c r="N282" s="160" t="s">
        <v>1141</v>
      </c>
      <c r="O282" s="160" t="s">
        <v>1130</v>
      </c>
      <c r="P282" s="160" t="s">
        <v>1123</v>
      </c>
      <c r="Q282" s="160"/>
      <c r="R282" s="162" t="s">
        <v>278</v>
      </c>
      <c r="S282" s="160" t="s">
        <v>840</v>
      </c>
      <c r="T282" s="159" t="s">
        <v>261</v>
      </c>
    </row>
    <row r="283" spans="1:20" ht="84" customHeight="1" x14ac:dyDescent="0.5">
      <c r="A283" s="156" t="s">
        <v>453</v>
      </c>
      <c r="B283" s="156"/>
      <c r="C283" s="155" t="s">
        <v>676</v>
      </c>
      <c r="D283" s="156" t="s">
        <v>282</v>
      </c>
      <c r="E283" s="156" t="s">
        <v>277</v>
      </c>
      <c r="F283" s="156" t="s">
        <v>1149</v>
      </c>
      <c r="G283" s="156" t="s">
        <v>826</v>
      </c>
      <c r="H283" s="156" t="s">
        <v>81</v>
      </c>
      <c r="I283" s="156" t="s">
        <v>675</v>
      </c>
      <c r="J283" s="156" t="s">
        <v>1005</v>
      </c>
      <c r="K283" s="157">
        <v>2</v>
      </c>
      <c r="L283" s="156" t="s">
        <v>842</v>
      </c>
      <c r="M283" s="156" t="s">
        <v>826</v>
      </c>
      <c r="N283" s="156" t="s">
        <v>1144</v>
      </c>
      <c r="O283" s="156" t="s">
        <v>1140</v>
      </c>
      <c r="P283" s="156" t="s">
        <v>1141</v>
      </c>
      <c r="Q283" s="156"/>
      <c r="R283" s="158" t="s">
        <v>278</v>
      </c>
      <c r="S283" s="156"/>
      <c r="T283" s="155" t="s">
        <v>261</v>
      </c>
    </row>
    <row r="284" spans="1:20" ht="73.5" customHeight="1" x14ac:dyDescent="0.5">
      <c r="A284" s="160" t="s">
        <v>453</v>
      </c>
      <c r="B284" s="160"/>
      <c r="C284" s="159" t="s">
        <v>678</v>
      </c>
      <c r="D284" s="160" t="s">
        <v>282</v>
      </c>
      <c r="E284" s="160" t="s">
        <v>277</v>
      </c>
      <c r="F284" s="160" t="s">
        <v>1149</v>
      </c>
      <c r="G284" s="160" t="s">
        <v>826</v>
      </c>
      <c r="H284" s="160" t="s">
        <v>81</v>
      </c>
      <c r="I284" s="160" t="s">
        <v>677</v>
      </c>
      <c r="J284" s="160" t="s">
        <v>110</v>
      </c>
      <c r="K284" s="161">
        <v>2</v>
      </c>
      <c r="L284" s="160" t="s">
        <v>1154</v>
      </c>
      <c r="M284" s="160" t="s">
        <v>826</v>
      </c>
      <c r="N284" s="160" t="s">
        <v>1144</v>
      </c>
      <c r="O284" s="160" t="s">
        <v>1140</v>
      </c>
      <c r="P284" s="160" t="s">
        <v>1141</v>
      </c>
      <c r="Q284" s="160"/>
      <c r="R284" s="162" t="s">
        <v>278</v>
      </c>
      <c r="S284" s="160"/>
      <c r="T284" s="159" t="s">
        <v>261</v>
      </c>
    </row>
    <row r="285" spans="1:20" ht="42" customHeight="1" x14ac:dyDescent="0.5">
      <c r="A285" s="156" t="s">
        <v>359</v>
      </c>
      <c r="B285" s="156"/>
      <c r="C285" s="155" t="s">
        <v>679</v>
      </c>
      <c r="D285" s="156" t="s">
        <v>288</v>
      </c>
      <c r="E285" s="156" t="s">
        <v>277</v>
      </c>
      <c r="F285" s="156" t="s">
        <v>1149</v>
      </c>
      <c r="G285" s="156" t="s">
        <v>938</v>
      </c>
      <c r="H285" s="156" t="s">
        <v>81</v>
      </c>
      <c r="I285" s="156" t="s">
        <v>352</v>
      </c>
      <c r="J285" s="156" t="s">
        <v>110</v>
      </c>
      <c r="K285" s="157">
        <v>5</v>
      </c>
      <c r="L285" s="156" t="s">
        <v>1153</v>
      </c>
      <c r="M285" s="156" t="s">
        <v>826</v>
      </c>
      <c r="N285" s="156" t="s">
        <v>1141</v>
      </c>
      <c r="O285" s="156" t="s">
        <v>1137</v>
      </c>
      <c r="P285" s="156" t="s">
        <v>999</v>
      </c>
      <c r="Q285" s="156"/>
      <c r="R285" s="158" t="s">
        <v>295</v>
      </c>
      <c r="S285" s="156"/>
      <c r="T285" s="155" t="s">
        <v>261</v>
      </c>
    </row>
    <row r="286" spans="1:20" ht="31.5" customHeight="1" x14ac:dyDescent="0.5">
      <c r="A286" s="160" t="s">
        <v>646</v>
      </c>
      <c r="B286" s="160"/>
      <c r="C286" s="159" t="s">
        <v>680</v>
      </c>
      <c r="D286" s="160" t="s">
        <v>288</v>
      </c>
      <c r="E286" s="160" t="s">
        <v>277</v>
      </c>
      <c r="F286" s="160" t="s">
        <v>1155</v>
      </c>
      <c r="G286" s="160" t="s">
        <v>831</v>
      </c>
      <c r="H286" s="160" t="s">
        <v>81</v>
      </c>
      <c r="I286" s="160" t="s">
        <v>317</v>
      </c>
      <c r="J286" s="160" t="s">
        <v>810</v>
      </c>
      <c r="K286" s="161">
        <v>2</v>
      </c>
      <c r="L286" s="160" t="s">
        <v>897</v>
      </c>
      <c r="M286" s="160" t="s">
        <v>834</v>
      </c>
      <c r="N286" s="160" t="s">
        <v>888</v>
      </c>
      <c r="O286" s="160" t="s">
        <v>1155</v>
      </c>
      <c r="P286" s="160" t="s">
        <v>888</v>
      </c>
      <c r="Q286" s="160"/>
      <c r="R286" s="162"/>
      <c r="S286" s="160"/>
      <c r="T286" s="159" t="s">
        <v>261</v>
      </c>
    </row>
    <row r="287" spans="1:20" ht="31.5" customHeight="1" x14ac:dyDescent="0.5">
      <c r="A287" s="156" t="s">
        <v>654</v>
      </c>
      <c r="B287" s="156"/>
      <c r="C287" s="155" t="s">
        <v>682</v>
      </c>
      <c r="D287" s="156" t="s">
        <v>288</v>
      </c>
      <c r="E287" s="156" t="s">
        <v>277</v>
      </c>
      <c r="F287" s="156" t="s">
        <v>1156</v>
      </c>
      <c r="G287" s="156" t="s">
        <v>831</v>
      </c>
      <c r="H287" s="156" t="s">
        <v>81</v>
      </c>
      <c r="I287" s="156" t="s">
        <v>681</v>
      </c>
      <c r="J287" s="156" t="s">
        <v>859</v>
      </c>
      <c r="K287" s="157">
        <v>14</v>
      </c>
      <c r="L287" s="156" t="s">
        <v>1157</v>
      </c>
      <c r="M287" s="156" t="s">
        <v>1147</v>
      </c>
      <c r="N287" s="156" t="s">
        <v>1144</v>
      </c>
      <c r="O287" s="156" t="s">
        <v>1151</v>
      </c>
      <c r="P287" s="156" t="s">
        <v>1144</v>
      </c>
      <c r="Q287" s="156"/>
      <c r="R287" s="158"/>
      <c r="S287" s="156"/>
      <c r="T287" s="155" t="s">
        <v>261</v>
      </c>
    </row>
    <row r="288" spans="1:20" ht="31.5" customHeight="1" x14ac:dyDescent="0.5">
      <c r="A288" s="160" t="s">
        <v>453</v>
      </c>
      <c r="B288" s="160"/>
      <c r="C288" s="159" t="s">
        <v>684</v>
      </c>
      <c r="D288" s="160" t="s">
        <v>282</v>
      </c>
      <c r="E288" s="160" t="s">
        <v>277</v>
      </c>
      <c r="F288" s="160" t="s">
        <v>1156</v>
      </c>
      <c r="G288" s="160" t="s">
        <v>831</v>
      </c>
      <c r="H288" s="160" t="s">
        <v>81</v>
      </c>
      <c r="I288" s="160" t="s">
        <v>681</v>
      </c>
      <c r="J288" s="160" t="s">
        <v>859</v>
      </c>
      <c r="K288" s="161">
        <v>3</v>
      </c>
      <c r="L288" s="160" t="s">
        <v>1158</v>
      </c>
      <c r="M288" s="160" t="s">
        <v>1147</v>
      </c>
      <c r="N288" s="160" t="s">
        <v>1144</v>
      </c>
      <c r="O288" s="160" t="s">
        <v>1155</v>
      </c>
      <c r="P288" s="160" t="s">
        <v>1144</v>
      </c>
      <c r="Q288" s="160"/>
      <c r="R288" s="162"/>
      <c r="S288" s="160"/>
      <c r="T288" s="159" t="s">
        <v>261</v>
      </c>
    </row>
    <row r="289" spans="1:20" ht="52.5" customHeight="1" x14ac:dyDescent="0.5">
      <c r="A289" s="156" t="s">
        <v>453</v>
      </c>
      <c r="B289" s="156"/>
      <c r="C289" s="155" t="s">
        <v>685</v>
      </c>
      <c r="D289" s="156" t="s">
        <v>282</v>
      </c>
      <c r="E289" s="156" t="s">
        <v>277</v>
      </c>
      <c r="F289" s="156" t="s">
        <v>1159</v>
      </c>
      <c r="G289" s="156" t="s">
        <v>826</v>
      </c>
      <c r="H289" s="156" t="s">
        <v>81</v>
      </c>
      <c r="I289" s="156" t="s">
        <v>471</v>
      </c>
      <c r="J289" s="156" t="s">
        <v>110</v>
      </c>
      <c r="K289" s="157">
        <v>2</v>
      </c>
      <c r="L289" s="156" t="s">
        <v>816</v>
      </c>
      <c r="M289" s="156" t="s">
        <v>826</v>
      </c>
      <c r="N289" s="156" t="s">
        <v>1156</v>
      </c>
      <c r="O289" s="156" t="s">
        <v>1155</v>
      </c>
      <c r="P289" s="156" t="s">
        <v>1149</v>
      </c>
      <c r="Q289" s="156"/>
      <c r="R289" s="158" t="s">
        <v>295</v>
      </c>
      <c r="S289" s="156"/>
      <c r="T289" s="155" t="s">
        <v>261</v>
      </c>
    </row>
    <row r="290" spans="1:20" ht="52.5" customHeight="1" x14ac:dyDescent="0.5">
      <c r="A290" s="160" t="s">
        <v>453</v>
      </c>
      <c r="B290" s="160"/>
      <c r="C290" s="159" t="s">
        <v>687</v>
      </c>
      <c r="D290" s="160" t="s">
        <v>282</v>
      </c>
      <c r="E290" s="160" t="s">
        <v>277</v>
      </c>
      <c r="F290" s="160" t="s">
        <v>1159</v>
      </c>
      <c r="G290" s="160" t="s">
        <v>826</v>
      </c>
      <c r="H290" s="160" t="s">
        <v>81</v>
      </c>
      <c r="I290" s="160" t="s">
        <v>471</v>
      </c>
      <c r="J290" s="160" t="s">
        <v>110</v>
      </c>
      <c r="K290" s="161">
        <v>2</v>
      </c>
      <c r="L290" s="160" t="s">
        <v>816</v>
      </c>
      <c r="M290" s="160" t="s">
        <v>826</v>
      </c>
      <c r="N290" s="160" t="s">
        <v>1156</v>
      </c>
      <c r="O290" s="160" t="s">
        <v>1155</v>
      </c>
      <c r="P290" s="160" t="s">
        <v>1149</v>
      </c>
      <c r="Q290" s="160"/>
      <c r="R290" s="162" t="s">
        <v>295</v>
      </c>
      <c r="S290" s="160"/>
      <c r="T290" s="159" t="s">
        <v>261</v>
      </c>
    </row>
    <row r="291" spans="1:20" ht="52.5" customHeight="1" x14ac:dyDescent="0.5">
      <c r="A291" s="156" t="s">
        <v>453</v>
      </c>
      <c r="B291" s="156"/>
      <c r="C291" s="155" t="s">
        <v>688</v>
      </c>
      <c r="D291" s="156" t="s">
        <v>282</v>
      </c>
      <c r="E291" s="156" t="s">
        <v>277</v>
      </c>
      <c r="F291" s="156" t="s">
        <v>1159</v>
      </c>
      <c r="G291" s="156" t="s">
        <v>826</v>
      </c>
      <c r="H291" s="156" t="s">
        <v>81</v>
      </c>
      <c r="I291" s="156" t="s">
        <v>471</v>
      </c>
      <c r="J291" s="156" t="s">
        <v>110</v>
      </c>
      <c r="K291" s="157">
        <v>2</v>
      </c>
      <c r="L291" s="156" t="s">
        <v>816</v>
      </c>
      <c r="M291" s="156" t="s">
        <v>826</v>
      </c>
      <c r="N291" s="156" t="s">
        <v>1156</v>
      </c>
      <c r="O291" s="156" t="s">
        <v>1155</v>
      </c>
      <c r="P291" s="156" t="s">
        <v>1149</v>
      </c>
      <c r="Q291" s="156"/>
      <c r="R291" s="158" t="s">
        <v>295</v>
      </c>
      <c r="S291" s="156"/>
      <c r="T291" s="155" t="s">
        <v>261</v>
      </c>
    </row>
    <row r="292" spans="1:20" ht="31.5" customHeight="1" x14ac:dyDescent="0.5">
      <c r="A292" s="160" t="s">
        <v>453</v>
      </c>
      <c r="B292" s="160"/>
      <c r="C292" s="159" t="s">
        <v>689</v>
      </c>
      <c r="D292" s="160" t="s">
        <v>282</v>
      </c>
      <c r="E292" s="160" t="s">
        <v>277</v>
      </c>
      <c r="F292" s="160" t="s">
        <v>1159</v>
      </c>
      <c r="G292" s="160" t="s">
        <v>826</v>
      </c>
      <c r="H292" s="160" t="s">
        <v>81</v>
      </c>
      <c r="I292" s="160" t="s">
        <v>26</v>
      </c>
      <c r="J292" s="160" t="s">
        <v>1005</v>
      </c>
      <c r="K292" s="161">
        <v>16</v>
      </c>
      <c r="L292" s="160" t="s">
        <v>847</v>
      </c>
      <c r="M292" s="160" t="s">
        <v>826</v>
      </c>
      <c r="N292" s="160" t="s">
        <v>1155</v>
      </c>
      <c r="O292" s="160" t="s">
        <v>1144</v>
      </c>
      <c r="P292" s="160" t="s">
        <v>1123</v>
      </c>
      <c r="Q292" s="160"/>
      <c r="R292" s="162"/>
      <c r="S292" s="160"/>
      <c r="T292" s="159" t="s">
        <v>261</v>
      </c>
    </row>
    <row r="293" spans="1:20" ht="31.5" customHeight="1" x14ac:dyDescent="0.5">
      <c r="A293" s="156" t="s">
        <v>453</v>
      </c>
      <c r="B293" s="156"/>
      <c r="C293" s="155" t="s">
        <v>1160</v>
      </c>
      <c r="D293" s="156" t="s">
        <v>282</v>
      </c>
      <c r="E293" s="156" t="s">
        <v>830</v>
      </c>
      <c r="F293" s="156" t="s">
        <v>1161</v>
      </c>
      <c r="G293" s="156" t="s">
        <v>831</v>
      </c>
      <c r="H293" s="156" t="s">
        <v>81</v>
      </c>
      <c r="I293" s="156" t="s">
        <v>317</v>
      </c>
      <c r="J293" s="156" t="s">
        <v>859</v>
      </c>
      <c r="K293" s="157">
        <v>2</v>
      </c>
      <c r="L293" s="156" t="s">
        <v>882</v>
      </c>
      <c r="M293" s="156" t="s">
        <v>834</v>
      </c>
      <c r="N293" s="156" t="s">
        <v>888</v>
      </c>
      <c r="O293" s="156" t="s">
        <v>1149</v>
      </c>
      <c r="P293" s="156"/>
      <c r="Q293" s="156"/>
      <c r="R293" s="158"/>
      <c r="S293" s="156"/>
      <c r="T293" s="155" t="s">
        <v>261</v>
      </c>
    </row>
    <row r="294" spans="1:20" ht="31.5" customHeight="1" x14ac:dyDescent="0.5">
      <c r="A294" s="160" t="s">
        <v>453</v>
      </c>
      <c r="B294" s="160"/>
      <c r="C294" s="159" t="s">
        <v>690</v>
      </c>
      <c r="D294" s="160" t="s">
        <v>282</v>
      </c>
      <c r="E294" s="160" t="s">
        <v>277</v>
      </c>
      <c r="F294" s="160" t="s">
        <v>1162</v>
      </c>
      <c r="G294" s="160" t="s">
        <v>831</v>
      </c>
      <c r="H294" s="160" t="s">
        <v>81</v>
      </c>
      <c r="I294" s="160" t="s">
        <v>317</v>
      </c>
      <c r="J294" s="160" t="s">
        <v>859</v>
      </c>
      <c r="K294" s="161">
        <v>8</v>
      </c>
      <c r="L294" s="160" t="s">
        <v>904</v>
      </c>
      <c r="M294" s="160" t="s">
        <v>834</v>
      </c>
      <c r="N294" s="160" t="s">
        <v>888</v>
      </c>
      <c r="O294" s="160" t="s">
        <v>1159</v>
      </c>
      <c r="P294" s="160" t="s">
        <v>888</v>
      </c>
      <c r="Q294" s="160"/>
      <c r="R294" s="162"/>
      <c r="S294" s="160"/>
      <c r="T294" s="159" t="s">
        <v>261</v>
      </c>
    </row>
    <row r="295" spans="1:20" ht="31.5" customHeight="1" x14ac:dyDescent="0.5">
      <c r="A295" s="156" t="s">
        <v>453</v>
      </c>
      <c r="B295" s="156"/>
      <c r="C295" s="155" t="s">
        <v>691</v>
      </c>
      <c r="D295" s="156" t="s">
        <v>282</v>
      </c>
      <c r="E295" s="156" t="s">
        <v>277</v>
      </c>
      <c r="F295" s="156" t="s">
        <v>1163</v>
      </c>
      <c r="G295" s="156" t="s">
        <v>826</v>
      </c>
      <c r="H295" s="156" t="s">
        <v>81</v>
      </c>
      <c r="I295" s="156" t="s">
        <v>284</v>
      </c>
      <c r="J295" s="156" t="s">
        <v>1005</v>
      </c>
      <c r="K295" s="157">
        <v>4</v>
      </c>
      <c r="L295" s="156" t="s">
        <v>1023</v>
      </c>
      <c r="M295" s="156" t="s">
        <v>826</v>
      </c>
      <c r="N295" s="156" t="s">
        <v>1006</v>
      </c>
      <c r="O295" s="156" t="s">
        <v>1063</v>
      </c>
      <c r="P295" s="156" t="s">
        <v>1006</v>
      </c>
      <c r="Q295" s="156"/>
      <c r="R295" s="158" t="s">
        <v>295</v>
      </c>
      <c r="S295" s="156"/>
      <c r="T295" s="155" t="s">
        <v>261</v>
      </c>
    </row>
    <row r="296" spans="1:20" ht="73.5" customHeight="1" x14ac:dyDescent="0.5">
      <c r="A296" s="160" t="s">
        <v>453</v>
      </c>
      <c r="B296" s="160"/>
      <c r="C296" s="159" t="s">
        <v>693</v>
      </c>
      <c r="D296" s="160" t="s">
        <v>282</v>
      </c>
      <c r="E296" s="160" t="s">
        <v>277</v>
      </c>
      <c r="F296" s="160" t="s">
        <v>1163</v>
      </c>
      <c r="G296" s="160" t="s">
        <v>826</v>
      </c>
      <c r="H296" s="160" t="s">
        <v>81</v>
      </c>
      <c r="I296" s="160" t="s">
        <v>510</v>
      </c>
      <c r="J296" s="160" t="s">
        <v>1005</v>
      </c>
      <c r="K296" s="161">
        <v>6</v>
      </c>
      <c r="L296" s="160" t="s">
        <v>842</v>
      </c>
      <c r="M296" s="160" t="s">
        <v>826</v>
      </c>
      <c r="N296" s="160" t="s">
        <v>1156</v>
      </c>
      <c r="O296" s="160" t="s">
        <v>1155</v>
      </c>
      <c r="P296" s="160" t="s">
        <v>1149</v>
      </c>
      <c r="Q296" s="160"/>
      <c r="R296" s="162" t="s">
        <v>295</v>
      </c>
      <c r="S296" s="160" t="s">
        <v>840</v>
      </c>
      <c r="T296" s="159" t="s">
        <v>261</v>
      </c>
    </row>
    <row r="297" spans="1:20" ht="63" customHeight="1" x14ac:dyDescent="0.5">
      <c r="A297" s="156" t="s">
        <v>453</v>
      </c>
      <c r="B297" s="156"/>
      <c r="C297" s="155" t="s">
        <v>695</v>
      </c>
      <c r="D297" s="156" t="s">
        <v>282</v>
      </c>
      <c r="E297" s="156" t="s">
        <v>277</v>
      </c>
      <c r="F297" s="156" t="s">
        <v>1163</v>
      </c>
      <c r="G297" s="156" t="s">
        <v>826</v>
      </c>
      <c r="H297" s="156" t="s">
        <v>81</v>
      </c>
      <c r="I297" s="156" t="s">
        <v>694</v>
      </c>
      <c r="J297" s="156" t="s">
        <v>1005</v>
      </c>
      <c r="K297" s="157">
        <v>3</v>
      </c>
      <c r="L297" s="156" t="s">
        <v>1073</v>
      </c>
      <c r="M297" s="156" t="s">
        <v>826</v>
      </c>
      <c r="N297" s="156" t="s">
        <v>1162</v>
      </c>
      <c r="O297" s="156" t="s">
        <v>1161</v>
      </c>
      <c r="P297" s="156" t="s">
        <v>1141</v>
      </c>
      <c r="Q297" s="156"/>
      <c r="R297" s="158" t="s">
        <v>295</v>
      </c>
      <c r="S297" s="156"/>
      <c r="T297" s="155" t="s">
        <v>261</v>
      </c>
    </row>
    <row r="298" spans="1:20" ht="52.5" customHeight="1" x14ac:dyDescent="0.5">
      <c r="A298" s="160" t="s">
        <v>453</v>
      </c>
      <c r="B298" s="160"/>
      <c r="C298" s="159" t="s">
        <v>696</v>
      </c>
      <c r="D298" s="160" t="s">
        <v>282</v>
      </c>
      <c r="E298" s="160" t="s">
        <v>277</v>
      </c>
      <c r="F298" s="160" t="s">
        <v>1163</v>
      </c>
      <c r="G298" s="160" t="s">
        <v>826</v>
      </c>
      <c r="H298" s="160" t="s">
        <v>81</v>
      </c>
      <c r="I298" s="160" t="s">
        <v>440</v>
      </c>
      <c r="J298" s="160" t="s">
        <v>1005</v>
      </c>
      <c r="K298" s="161">
        <v>4</v>
      </c>
      <c r="L298" s="160" t="s">
        <v>906</v>
      </c>
      <c r="M298" s="160" t="s">
        <v>826</v>
      </c>
      <c r="N298" s="160" t="s">
        <v>1164</v>
      </c>
      <c r="O298" s="160" t="s">
        <v>1159</v>
      </c>
      <c r="P298" s="160" t="s">
        <v>1149</v>
      </c>
      <c r="Q298" s="160"/>
      <c r="R298" s="162" t="s">
        <v>295</v>
      </c>
      <c r="S298" s="160" t="s">
        <v>840</v>
      </c>
      <c r="T298" s="159" t="s">
        <v>261</v>
      </c>
    </row>
    <row r="299" spans="1:20" ht="31.5" customHeight="1" x14ac:dyDescent="0.5">
      <c r="A299" s="156" t="s">
        <v>453</v>
      </c>
      <c r="B299" s="156"/>
      <c r="C299" s="155" t="s">
        <v>697</v>
      </c>
      <c r="D299" s="156" t="s">
        <v>282</v>
      </c>
      <c r="E299" s="156" t="s">
        <v>277</v>
      </c>
      <c r="F299" s="156" t="s">
        <v>1165</v>
      </c>
      <c r="G299" s="156" t="s">
        <v>831</v>
      </c>
      <c r="H299" s="156" t="s">
        <v>81</v>
      </c>
      <c r="I299" s="156" t="s">
        <v>317</v>
      </c>
      <c r="J299" s="156" t="s">
        <v>859</v>
      </c>
      <c r="K299" s="157">
        <v>14</v>
      </c>
      <c r="L299" s="156" t="s">
        <v>833</v>
      </c>
      <c r="M299" s="156" t="s">
        <v>834</v>
      </c>
      <c r="N299" s="156" t="s">
        <v>888</v>
      </c>
      <c r="O299" s="156" t="s">
        <v>1059</v>
      </c>
      <c r="P299" s="156" t="s">
        <v>888</v>
      </c>
      <c r="Q299" s="156"/>
      <c r="R299" s="158"/>
      <c r="S299" s="156"/>
      <c r="T299" s="155" t="s">
        <v>261</v>
      </c>
    </row>
    <row r="300" spans="1:20" ht="63" customHeight="1" x14ac:dyDescent="0.5">
      <c r="A300" s="160" t="s">
        <v>646</v>
      </c>
      <c r="B300" s="160"/>
      <c r="C300" s="159" t="s">
        <v>699</v>
      </c>
      <c r="D300" s="160" t="s">
        <v>282</v>
      </c>
      <c r="E300" s="160" t="s">
        <v>277</v>
      </c>
      <c r="F300" s="160" t="s">
        <v>1165</v>
      </c>
      <c r="G300" s="160" t="s">
        <v>826</v>
      </c>
      <c r="H300" s="160" t="s">
        <v>81</v>
      </c>
      <c r="I300" s="160" t="s">
        <v>698</v>
      </c>
      <c r="J300" s="160" t="s">
        <v>110</v>
      </c>
      <c r="K300" s="161">
        <v>6</v>
      </c>
      <c r="L300" s="160" t="s">
        <v>842</v>
      </c>
      <c r="M300" s="160" t="s">
        <v>826</v>
      </c>
      <c r="N300" s="160" t="s">
        <v>1166</v>
      </c>
      <c r="O300" s="160" t="s">
        <v>1167</v>
      </c>
      <c r="P300" s="160" t="s">
        <v>1123</v>
      </c>
      <c r="Q300" s="160"/>
      <c r="R300" s="162" t="s">
        <v>278</v>
      </c>
      <c r="S300" s="160"/>
      <c r="T300" s="159" t="s">
        <v>261</v>
      </c>
    </row>
    <row r="301" spans="1:20" ht="31.5" customHeight="1" x14ac:dyDescent="0.5">
      <c r="A301" s="156" t="s">
        <v>646</v>
      </c>
      <c r="B301" s="156"/>
      <c r="C301" s="155" t="s">
        <v>700</v>
      </c>
      <c r="D301" s="156" t="s">
        <v>288</v>
      </c>
      <c r="E301" s="156" t="s">
        <v>277</v>
      </c>
      <c r="F301" s="156" t="s">
        <v>1168</v>
      </c>
      <c r="G301" s="156" t="s">
        <v>831</v>
      </c>
      <c r="H301" s="156" t="s">
        <v>81</v>
      </c>
      <c r="I301" s="156" t="s">
        <v>317</v>
      </c>
      <c r="J301" s="156" t="s">
        <v>810</v>
      </c>
      <c r="K301" s="157">
        <v>3</v>
      </c>
      <c r="L301" s="156" t="s">
        <v>1002</v>
      </c>
      <c r="M301" s="156" t="s">
        <v>834</v>
      </c>
      <c r="N301" s="156" t="s">
        <v>888</v>
      </c>
      <c r="O301" s="156" t="s">
        <v>1169</v>
      </c>
      <c r="P301" s="156" t="s">
        <v>888</v>
      </c>
      <c r="Q301" s="156"/>
      <c r="R301" s="158"/>
      <c r="S301" s="156"/>
      <c r="T301" s="155" t="s">
        <v>261</v>
      </c>
    </row>
    <row r="302" spans="1:20" ht="63" customHeight="1" x14ac:dyDescent="0.5">
      <c r="A302" s="160" t="s">
        <v>453</v>
      </c>
      <c r="B302" s="160"/>
      <c r="C302" s="159" t="s">
        <v>701</v>
      </c>
      <c r="D302" s="160" t="s">
        <v>282</v>
      </c>
      <c r="E302" s="160" t="s">
        <v>277</v>
      </c>
      <c r="F302" s="160" t="s">
        <v>1170</v>
      </c>
      <c r="G302" s="160" t="s">
        <v>826</v>
      </c>
      <c r="H302" s="160" t="s">
        <v>81</v>
      </c>
      <c r="I302" s="160" t="s">
        <v>488</v>
      </c>
      <c r="J302" s="160" t="s">
        <v>1005</v>
      </c>
      <c r="K302" s="161">
        <v>2</v>
      </c>
      <c r="L302" s="160" t="s">
        <v>917</v>
      </c>
      <c r="M302" s="160" t="s">
        <v>826</v>
      </c>
      <c r="N302" s="160" t="s">
        <v>1168</v>
      </c>
      <c r="O302" s="160" t="s">
        <v>1169</v>
      </c>
      <c r="P302" s="160" t="s">
        <v>1123</v>
      </c>
      <c r="Q302" s="160"/>
      <c r="R302" s="162" t="s">
        <v>278</v>
      </c>
      <c r="S302" s="160" t="s">
        <v>840</v>
      </c>
      <c r="T302" s="159" t="s">
        <v>261</v>
      </c>
    </row>
    <row r="303" spans="1:20" ht="52.5" customHeight="1" x14ac:dyDescent="0.5">
      <c r="A303" s="156" t="s">
        <v>646</v>
      </c>
      <c r="B303" s="156"/>
      <c r="C303" s="155" t="s">
        <v>703</v>
      </c>
      <c r="D303" s="156" t="s">
        <v>288</v>
      </c>
      <c r="E303" s="156" t="s">
        <v>277</v>
      </c>
      <c r="F303" s="156" t="s">
        <v>1171</v>
      </c>
      <c r="G303" s="156" t="s">
        <v>826</v>
      </c>
      <c r="H303" s="156" t="s">
        <v>81</v>
      </c>
      <c r="I303" s="156" t="s">
        <v>702</v>
      </c>
      <c r="J303" s="156" t="s">
        <v>110</v>
      </c>
      <c r="K303" s="157">
        <v>3</v>
      </c>
      <c r="L303" s="156" t="s">
        <v>816</v>
      </c>
      <c r="M303" s="156" t="s">
        <v>826</v>
      </c>
      <c r="N303" s="156" t="s">
        <v>1170</v>
      </c>
      <c r="O303" s="156" t="s">
        <v>1165</v>
      </c>
      <c r="P303" s="156" t="s">
        <v>1004</v>
      </c>
      <c r="Q303" s="156"/>
      <c r="R303" s="158" t="s">
        <v>295</v>
      </c>
      <c r="S303" s="156"/>
      <c r="T303" s="155" t="s">
        <v>261</v>
      </c>
    </row>
    <row r="304" spans="1:20" ht="31.5" customHeight="1" x14ac:dyDescent="0.5">
      <c r="A304" s="160" t="s">
        <v>646</v>
      </c>
      <c r="B304" s="160"/>
      <c r="C304" s="159" t="s">
        <v>704</v>
      </c>
      <c r="D304" s="160" t="s">
        <v>288</v>
      </c>
      <c r="E304" s="160" t="s">
        <v>277</v>
      </c>
      <c r="F304" s="160" t="s">
        <v>1172</v>
      </c>
      <c r="G304" s="160" t="s">
        <v>826</v>
      </c>
      <c r="H304" s="160" t="s">
        <v>81</v>
      </c>
      <c r="I304" s="160" t="s">
        <v>455</v>
      </c>
      <c r="J304" s="160" t="s">
        <v>1005</v>
      </c>
      <c r="K304" s="161">
        <v>4</v>
      </c>
      <c r="L304" s="160" t="s">
        <v>992</v>
      </c>
      <c r="M304" s="160" t="s">
        <v>826</v>
      </c>
      <c r="N304" s="160" t="s">
        <v>1165</v>
      </c>
      <c r="O304" s="160" t="s">
        <v>1173</v>
      </c>
      <c r="P304" s="160" t="s">
        <v>1123</v>
      </c>
      <c r="Q304" s="160"/>
      <c r="R304" s="162" t="s">
        <v>295</v>
      </c>
      <c r="S304" s="160" t="s">
        <v>840</v>
      </c>
      <c r="T304" s="159" t="s">
        <v>261</v>
      </c>
    </row>
    <row r="305" spans="1:20" ht="31.5" customHeight="1" x14ac:dyDescent="0.5">
      <c r="A305" s="156" t="s">
        <v>646</v>
      </c>
      <c r="B305" s="156"/>
      <c r="C305" s="155" t="s">
        <v>706</v>
      </c>
      <c r="D305" s="156" t="s">
        <v>288</v>
      </c>
      <c r="E305" s="156" t="s">
        <v>277</v>
      </c>
      <c r="F305" s="156" t="s">
        <v>1172</v>
      </c>
      <c r="G305" s="156" t="s">
        <v>826</v>
      </c>
      <c r="H305" s="156" t="s">
        <v>81</v>
      </c>
      <c r="I305" s="156" t="s">
        <v>705</v>
      </c>
      <c r="J305" s="156" t="s">
        <v>110</v>
      </c>
      <c r="K305" s="157">
        <v>6</v>
      </c>
      <c r="L305" s="156" t="s">
        <v>842</v>
      </c>
      <c r="M305" s="156" t="s">
        <v>826</v>
      </c>
      <c r="N305" s="156" t="s">
        <v>1171</v>
      </c>
      <c r="O305" s="156" t="s">
        <v>1170</v>
      </c>
      <c r="P305" s="156" t="s">
        <v>999</v>
      </c>
      <c r="Q305" s="156"/>
      <c r="R305" s="158" t="s">
        <v>278</v>
      </c>
      <c r="S305" s="156"/>
      <c r="T305" s="155" t="s">
        <v>261</v>
      </c>
    </row>
    <row r="306" spans="1:20" ht="31.5" customHeight="1" x14ac:dyDescent="0.5">
      <c r="A306" s="160" t="s">
        <v>453</v>
      </c>
      <c r="B306" s="160"/>
      <c r="C306" s="159" t="s">
        <v>707</v>
      </c>
      <c r="D306" s="160" t="s">
        <v>282</v>
      </c>
      <c r="E306" s="160" t="s">
        <v>277</v>
      </c>
      <c r="F306" s="160" t="s">
        <v>1174</v>
      </c>
      <c r="G306" s="160" t="s">
        <v>831</v>
      </c>
      <c r="H306" s="160" t="s">
        <v>81</v>
      </c>
      <c r="I306" s="160" t="s">
        <v>303</v>
      </c>
      <c r="J306" s="160" t="s">
        <v>859</v>
      </c>
      <c r="K306" s="161">
        <v>7</v>
      </c>
      <c r="L306" s="160" t="s">
        <v>867</v>
      </c>
      <c r="M306" s="160" t="s">
        <v>812</v>
      </c>
      <c r="N306" s="160" t="s">
        <v>881</v>
      </c>
      <c r="O306" s="160" t="s">
        <v>1135</v>
      </c>
      <c r="P306" s="160" t="s">
        <v>1175</v>
      </c>
      <c r="Q306" s="160"/>
      <c r="R306" s="162"/>
      <c r="S306" s="160"/>
      <c r="T306" s="159" t="s">
        <v>261</v>
      </c>
    </row>
    <row r="307" spans="1:20" ht="31.5" customHeight="1" x14ac:dyDescent="0.5">
      <c r="A307" s="156" t="s">
        <v>453</v>
      </c>
      <c r="B307" s="156"/>
      <c r="C307" s="155" t="s">
        <v>709</v>
      </c>
      <c r="D307" s="156" t="s">
        <v>282</v>
      </c>
      <c r="E307" s="156" t="s">
        <v>277</v>
      </c>
      <c r="F307" s="156" t="s">
        <v>1174</v>
      </c>
      <c r="G307" s="156" t="s">
        <v>831</v>
      </c>
      <c r="H307" s="156" t="s">
        <v>81</v>
      </c>
      <c r="I307" s="156" t="s">
        <v>303</v>
      </c>
      <c r="J307" s="156" t="s">
        <v>859</v>
      </c>
      <c r="K307" s="157">
        <v>31</v>
      </c>
      <c r="L307" s="156" t="s">
        <v>867</v>
      </c>
      <c r="M307" s="156" t="s">
        <v>812</v>
      </c>
      <c r="N307" s="156" t="s">
        <v>881</v>
      </c>
      <c r="O307" s="156" t="s">
        <v>1135</v>
      </c>
      <c r="P307" s="156" t="s">
        <v>1175</v>
      </c>
      <c r="Q307" s="156"/>
      <c r="R307" s="158"/>
      <c r="S307" s="156"/>
      <c r="T307" s="155" t="s">
        <v>261</v>
      </c>
    </row>
    <row r="308" spans="1:20" ht="31.5" customHeight="1" x14ac:dyDescent="0.5">
      <c r="A308" s="160" t="s">
        <v>453</v>
      </c>
      <c r="B308" s="160"/>
      <c r="C308" s="159" t="s">
        <v>710</v>
      </c>
      <c r="D308" s="160" t="s">
        <v>282</v>
      </c>
      <c r="E308" s="160" t="s">
        <v>277</v>
      </c>
      <c r="F308" s="160" t="s">
        <v>1174</v>
      </c>
      <c r="G308" s="160" t="s">
        <v>831</v>
      </c>
      <c r="H308" s="160" t="s">
        <v>81</v>
      </c>
      <c r="I308" s="160" t="s">
        <v>303</v>
      </c>
      <c r="J308" s="160" t="s">
        <v>859</v>
      </c>
      <c r="K308" s="161">
        <v>16</v>
      </c>
      <c r="L308" s="160" t="s">
        <v>867</v>
      </c>
      <c r="M308" s="160" t="s">
        <v>812</v>
      </c>
      <c r="N308" s="160" t="s">
        <v>881</v>
      </c>
      <c r="O308" s="160" t="s">
        <v>1176</v>
      </c>
      <c r="P308" s="160" t="s">
        <v>1175</v>
      </c>
      <c r="Q308" s="160"/>
      <c r="R308" s="162"/>
      <c r="S308" s="160"/>
      <c r="T308" s="159" t="s">
        <v>261</v>
      </c>
    </row>
    <row r="309" spans="1:20" ht="31.5" customHeight="1" x14ac:dyDescent="0.5">
      <c r="A309" s="156" t="s">
        <v>453</v>
      </c>
      <c r="B309" s="156"/>
      <c r="C309" s="155" t="s">
        <v>1177</v>
      </c>
      <c r="D309" s="156" t="s">
        <v>282</v>
      </c>
      <c r="E309" s="156" t="s">
        <v>820</v>
      </c>
      <c r="F309" s="156" t="s">
        <v>1178</v>
      </c>
      <c r="G309" s="156" t="s">
        <v>831</v>
      </c>
      <c r="H309" s="156" t="s">
        <v>81</v>
      </c>
      <c r="I309" s="156" t="s">
        <v>303</v>
      </c>
      <c r="J309" s="156" t="s">
        <v>810</v>
      </c>
      <c r="K309" s="157">
        <v>1</v>
      </c>
      <c r="L309" s="156"/>
      <c r="M309" s="156"/>
      <c r="N309" s="156"/>
      <c r="O309" s="156"/>
      <c r="P309" s="156"/>
      <c r="Q309" s="156"/>
      <c r="R309" s="158"/>
      <c r="S309" s="156"/>
      <c r="T309" s="155" t="s">
        <v>261</v>
      </c>
    </row>
    <row r="310" spans="1:20" ht="31.5" customHeight="1" x14ac:dyDescent="0.5">
      <c r="A310" s="160" t="s">
        <v>453</v>
      </c>
      <c r="B310" s="160"/>
      <c r="C310" s="159" t="s">
        <v>711</v>
      </c>
      <c r="D310" s="160" t="s">
        <v>282</v>
      </c>
      <c r="E310" s="160" t="s">
        <v>277</v>
      </c>
      <c r="F310" s="160" t="s">
        <v>1179</v>
      </c>
      <c r="G310" s="160" t="s">
        <v>831</v>
      </c>
      <c r="H310" s="160" t="s">
        <v>81</v>
      </c>
      <c r="I310" s="160" t="s">
        <v>317</v>
      </c>
      <c r="J310" s="160" t="s">
        <v>859</v>
      </c>
      <c r="K310" s="161">
        <v>36</v>
      </c>
      <c r="L310" s="160" t="s">
        <v>904</v>
      </c>
      <c r="M310" s="160" t="s">
        <v>834</v>
      </c>
      <c r="N310" s="160" t="s">
        <v>888</v>
      </c>
      <c r="O310" s="160" t="s">
        <v>1165</v>
      </c>
      <c r="P310" s="160" t="s">
        <v>888</v>
      </c>
      <c r="Q310" s="160"/>
      <c r="R310" s="162"/>
      <c r="S310" s="160"/>
      <c r="T310" s="159" t="s">
        <v>261</v>
      </c>
    </row>
    <row r="311" spans="1:20" ht="31.5" customHeight="1" x14ac:dyDescent="0.5">
      <c r="A311" s="156" t="s">
        <v>453</v>
      </c>
      <c r="B311" s="156"/>
      <c r="C311" s="155" t="s">
        <v>712</v>
      </c>
      <c r="D311" s="156" t="s">
        <v>282</v>
      </c>
      <c r="E311" s="156" t="s">
        <v>277</v>
      </c>
      <c r="F311" s="156" t="s">
        <v>1179</v>
      </c>
      <c r="G311" s="156" t="s">
        <v>831</v>
      </c>
      <c r="H311" s="156" t="s">
        <v>81</v>
      </c>
      <c r="I311" s="156" t="s">
        <v>303</v>
      </c>
      <c r="J311" s="156" t="s">
        <v>859</v>
      </c>
      <c r="K311" s="157">
        <v>7</v>
      </c>
      <c r="L311" s="156" t="s">
        <v>867</v>
      </c>
      <c r="M311" s="156" t="s">
        <v>812</v>
      </c>
      <c r="N311" s="156" t="s">
        <v>881</v>
      </c>
      <c r="O311" s="156" t="s">
        <v>1176</v>
      </c>
      <c r="P311" s="156" t="s">
        <v>1175</v>
      </c>
      <c r="Q311" s="156"/>
      <c r="R311" s="158"/>
      <c r="S311" s="156"/>
      <c r="T311" s="155" t="s">
        <v>261</v>
      </c>
    </row>
    <row r="312" spans="1:20" ht="52.5" customHeight="1" x14ac:dyDescent="0.5">
      <c r="A312" s="160" t="s">
        <v>646</v>
      </c>
      <c r="B312" s="160"/>
      <c r="C312" s="159" t="s">
        <v>713</v>
      </c>
      <c r="D312" s="160" t="s">
        <v>288</v>
      </c>
      <c r="E312" s="160" t="s">
        <v>277</v>
      </c>
      <c r="F312" s="160" t="s">
        <v>1180</v>
      </c>
      <c r="G312" s="160" t="s">
        <v>826</v>
      </c>
      <c r="H312" s="160" t="s">
        <v>81</v>
      </c>
      <c r="I312" s="160" t="s">
        <v>643</v>
      </c>
      <c r="J312" s="160" t="s">
        <v>110</v>
      </c>
      <c r="K312" s="161">
        <v>2</v>
      </c>
      <c r="L312" s="160" t="s">
        <v>932</v>
      </c>
      <c r="M312" s="160" t="s">
        <v>826</v>
      </c>
      <c r="N312" s="160" t="s">
        <v>1179</v>
      </c>
      <c r="O312" s="160" t="s">
        <v>1171</v>
      </c>
      <c r="P312" s="160" t="s">
        <v>1141</v>
      </c>
      <c r="Q312" s="160"/>
      <c r="R312" s="162" t="s">
        <v>278</v>
      </c>
      <c r="S312" s="160"/>
      <c r="T312" s="159" t="s">
        <v>261</v>
      </c>
    </row>
    <row r="313" spans="1:20" ht="42" customHeight="1" x14ac:dyDescent="0.5">
      <c r="A313" s="156" t="s">
        <v>359</v>
      </c>
      <c r="B313" s="156"/>
      <c r="C313" s="155" t="s">
        <v>715</v>
      </c>
      <c r="D313" s="156" t="s">
        <v>288</v>
      </c>
      <c r="E313" s="156" t="s">
        <v>277</v>
      </c>
      <c r="F313" s="156" t="s">
        <v>1180</v>
      </c>
      <c r="G313" s="156" t="s">
        <v>1181</v>
      </c>
      <c r="H313" s="156" t="s">
        <v>81</v>
      </c>
      <c r="I313" s="156" t="s">
        <v>352</v>
      </c>
      <c r="J313" s="156" t="s">
        <v>110</v>
      </c>
      <c r="K313" s="157">
        <v>5</v>
      </c>
      <c r="L313" s="156" t="s">
        <v>916</v>
      </c>
      <c r="M313" s="156" t="s">
        <v>826</v>
      </c>
      <c r="N313" s="156" t="s">
        <v>1167</v>
      </c>
      <c r="O313" s="156" t="s">
        <v>1162</v>
      </c>
      <c r="P313" s="156" t="s">
        <v>999</v>
      </c>
      <c r="Q313" s="156"/>
      <c r="R313" s="158" t="s">
        <v>295</v>
      </c>
      <c r="S313" s="156"/>
      <c r="T313" s="155" t="s">
        <v>261</v>
      </c>
    </row>
    <row r="314" spans="1:20" ht="31.5" customHeight="1" x14ac:dyDescent="0.5">
      <c r="A314" s="160" t="s">
        <v>646</v>
      </c>
      <c r="B314" s="160"/>
      <c r="C314" s="159" t="s">
        <v>716</v>
      </c>
      <c r="D314" s="160" t="s">
        <v>288</v>
      </c>
      <c r="E314" s="160" t="s">
        <v>277</v>
      </c>
      <c r="F314" s="160" t="s">
        <v>1182</v>
      </c>
      <c r="G314" s="160" t="s">
        <v>831</v>
      </c>
      <c r="H314" s="160" t="s">
        <v>81</v>
      </c>
      <c r="I314" s="160" t="s">
        <v>314</v>
      </c>
      <c r="J314" s="160" t="s">
        <v>810</v>
      </c>
      <c r="K314" s="161">
        <v>2</v>
      </c>
      <c r="L314" s="160" t="s">
        <v>904</v>
      </c>
      <c r="M314" s="160" t="s">
        <v>834</v>
      </c>
      <c r="N314" s="160" t="s">
        <v>974</v>
      </c>
      <c r="O314" s="160" t="s">
        <v>1178</v>
      </c>
      <c r="P314" s="160" t="s">
        <v>974</v>
      </c>
      <c r="Q314" s="160"/>
      <c r="R314" s="162"/>
      <c r="S314" s="160"/>
      <c r="T314" s="159" t="s">
        <v>261</v>
      </c>
    </row>
    <row r="315" spans="1:20" ht="31.5" customHeight="1" x14ac:dyDescent="0.5">
      <c r="A315" s="156" t="s">
        <v>646</v>
      </c>
      <c r="B315" s="156"/>
      <c r="C315" s="155" t="s">
        <v>717</v>
      </c>
      <c r="D315" s="156" t="s">
        <v>288</v>
      </c>
      <c r="E315" s="156" t="s">
        <v>277</v>
      </c>
      <c r="F315" s="156" t="s">
        <v>1183</v>
      </c>
      <c r="G315" s="156" t="s">
        <v>826</v>
      </c>
      <c r="H315" s="156" t="s">
        <v>81</v>
      </c>
      <c r="I315" s="156" t="s">
        <v>284</v>
      </c>
      <c r="J315" s="156" t="s">
        <v>1005</v>
      </c>
      <c r="K315" s="157">
        <v>4</v>
      </c>
      <c r="L315" s="156" t="s">
        <v>917</v>
      </c>
      <c r="M315" s="156" t="s">
        <v>826</v>
      </c>
      <c r="N315" s="156" t="s">
        <v>1184</v>
      </c>
      <c r="O315" s="156" t="s">
        <v>1169</v>
      </c>
      <c r="P315" s="156" t="s">
        <v>962</v>
      </c>
      <c r="Q315" s="156"/>
      <c r="R315" s="158" t="s">
        <v>295</v>
      </c>
      <c r="S315" s="156"/>
      <c r="T315" s="155" t="s">
        <v>261</v>
      </c>
    </row>
    <row r="316" spans="1:20" ht="73.5" customHeight="1" x14ac:dyDescent="0.5">
      <c r="A316" s="160" t="s">
        <v>654</v>
      </c>
      <c r="B316" s="160"/>
      <c r="C316" s="159" t="s">
        <v>1185</v>
      </c>
      <c r="D316" s="160" t="s">
        <v>288</v>
      </c>
      <c r="E316" s="160" t="s">
        <v>820</v>
      </c>
      <c r="F316" s="160" t="s">
        <v>1186</v>
      </c>
      <c r="G316" s="160" t="s">
        <v>826</v>
      </c>
      <c r="H316" s="160" t="s">
        <v>81</v>
      </c>
      <c r="I316" s="160" t="s">
        <v>1187</v>
      </c>
      <c r="J316" s="160" t="s">
        <v>1005</v>
      </c>
      <c r="K316" s="161">
        <v>3</v>
      </c>
      <c r="L316" s="160"/>
      <c r="M316" s="160"/>
      <c r="N316" s="160"/>
      <c r="O316" s="160"/>
      <c r="P316" s="160"/>
      <c r="Q316" s="160"/>
      <c r="R316" s="162"/>
      <c r="S316" s="160"/>
      <c r="T316" s="159" t="s">
        <v>261</v>
      </c>
    </row>
    <row r="317" spans="1:20" ht="31.5" customHeight="1" x14ac:dyDescent="0.5">
      <c r="A317" s="156" t="s">
        <v>654</v>
      </c>
      <c r="B317" s="156"/>
      <c r="C317" s="155" t="s">
        <v>1188</v>
      </c>
      <c r="D317" s="156" t="s">
        <v>288</v>
      </c>
      <c r="E317" s="156" t="s">
        <v>820</v>
      </c>
      <c r="F317" s="156" t="s">
        <v>1186</v>
      </c>
      <c r="G317" s="156" t="s">
        <v>826</v>
      </c>
      <c r="H317" s="156" t="s">
        <v>81</v>
      </c>
      <c r="I317" s="156" t="s">
        <v>1189</v>
      </c>
      <c r="J317" s="156" t="s">
        <v>1005</v>
      </c>
      <c r="K317" s="157">
        <v>6</v>
      </c>
      <c r="L317" s="156"/>
      <c r="M317" s="156"/>
      <c r="N317" s="156"/>
      <c r="O317" s="156"/>
      <c r="P317" s="156"/>
      <c r="Q317" s="156"/>
      <c r="R317" s="158"/>
      <c r="S317" s="156" t="s">
        <v>840</v>
      </c>
      <c r="T317" s="155" t="s">
        <v>261</v>
      </c>
    </row>
    <row r="318" spans="1:20" ht="63" customHeight="1" x14ac:dyDescent="0.5">
      <c r="A318" s="160" t="s">
        <v>646</v>
      </c>
      <c r="B318" s="160"/>
      <c r="C318" s="159" t="s">
        <v>719</v>
      </c>
      <c r="D318" s="160" t="s">
        <v>288</v>
      </c>
      <c r="E318" s="160" t="s">
        <v>277</v>
      </c>
      <c r="F318" s="160" t="s">
        <v>1186</v>
      </c>
      <c r="G318" s="160" t="s">
        <v>826</v>
      </c>
      <c r="H318" s="160" t="s">
        <v>81</v>
      </c>
      <c r="I318" s="160" t="s">
        <v>492</v>
      </c>
      <c r="J318" s="160" t="s">
        <v>1005</v>
      </c>
      <c r="K318" s="161">
        <v>4</v>
      </c>
      <c r="L318" s="160" t="s">
        <v>1000</v>
      </c>
      <c r="M318" s="160" t="s">
        <v>826</v>
      </c>
      <c r="N318" s="160" t="s">
        <v>1179</v>
      </c>
      <c r="O318" s="160" t="s">
        <v>1178</v>
      </c>
      <c r="P318" s="160" t="s">
        <v>1172</v>
      </c>
      <c r="Q318" s="160"/>
      <c r="R318" s="162" t="s">
        <v>295</v>
      </c>
      <c r="S318" s="160"/>
      <c r="T318" s="159" t="s">
        <v>261</v>
      </c>
    </row>
    <row r="319" spans="1:20" ht="31.5" customHeight="1" x14ac:dyDescent="0.5">
      <c r="A319" s="156" t="s">
        <v>654</v>
      </c>
      <c r="B319" s="156"/>
      <c r="C319" s="155" t="s">
        <v>1190</v>
      </c>
      <c r="D319" s="156" t="s">
        <v>288</v>
      </c>
      <c r="E319" s="156" t="s">
        <v>820</v>
      </c>
      <c r="F319" s="156" t="s">
        <v>1186</v>
      </c>
      <c r="G319" s="156" t="s">
        <v>826</v>
      </c>
      <c r="H319" s="156" t="s">
        <v>81</v>
      </c>
      <c r="I319" s="156" t="s">
        <v>671</v>
      </c>
      <c r="J319" s="156" t="s">
        <v>1005</v>
      </c>
      <c r="K319" s="157">
        <v>10</v>
      </c>
      <c r="L319" s="156"/>
      <c r="M319" s="156"/>
      <c r="N319" s="156"/>
      <c r="O319" s="156"/>
      <c r="P319" s="156"/>
      <c r="Q319" s="156"/>
      <c r="R319" s="158"/>
      <c r="S319" s="156"/>
      <c r="T319" s="155" t="s">
        <v>261</v>
      </c>
    </row>
    <row r="320" spans="1:20" ht="52.5" customHeight="1" x14ac:dyDescent="0.5">
      <c r="A320" s="160" t="s">
        <v>654</v>
      </c>
      <c r="B320" s="160"/>
      <c r="C320" s="159" t="s">
        <v>1191</v>
      </c>
      <c r="D320" s="160" t="s">
        <v>288</v>
      </c>
      <c r="E320" s="160" t="s">
        <v>820</v>
      </c>
      <c r="F320" s="160" t="s">
        <v>1186</v>
      </c>
      <c r="G320" s="160" t="s">
        <v>826</v>
      </c>
      <c r="H320" s="160" t="s">
        <v>81</v>
      </c>
      <c r="I320" s="160" t="s">
        <v>673</v>
      </c>
      <c r="J320" s="160" t="s">
        <v>1005</v>
      </c>
      <c r="K320" s="161">
        <v>5</v>
      </c>
      <c r="L320" s="160"/>
      <c r="M320" s="160"/>
      <c r="N320" s="160"/>
      <c r="O320" s="160"/>
      <c r="P320" s="160"/>
      <c r="Q320" s="160"/>
      <c r="R320" s="162"/>
      <c r="S320" s="160" t="s">
        <v>840</v>
      </c>
      <c r="T320" s="159" t="s">
        <v>261</v>
      </c>
    </row>
    <row r="321" spans="1:20" ht="84" customHeight="1" x14ac:dyDescent="0.5">
      <c r="A321" s="156" t="s">
        <v>646</v>
      </c>
      <c r="B321" s="156"/>
      <c r="C321" s="155" t="s">
        <v>721</v>
      </c>
      <c r="D321" s="156" t="s">
        <v>288</v>
      </c>
      <c r="E321" s="156" t="s">
        <v>277</v>
      </c>
      <c r="F321" s="156" t="s">
        <v>1186</v>
      </c>
      <c r="G321" s="156" t="s">
        <v>826</v>
      </c>
      <c r="H321" s="156" t="s">
        <v>81</v>
      </c>
      <c r="I321" s="156" t="s">
        <v>675</v>
      </c>
      <c r="J321" s="156" t="s">
        <v>1005</v>
      </c>
      <c r="K321" s="157">
        <v>2</v>
      </c>
      <c r="L321" s="156" t="s">
        <v>842</v>
      </c>
      <c r="M321" s="156" t="s">
        <v>826</v>
      </c>
      <c r="N321" s="156" t="s">
        <v>1128</v>
      </c>
      <c r="O321" s="156" t="s">
        <v>1129</v>
      </c>
      <c r="P321" s="156" t="s">
        <v>1123</v>
      </c>
      <c r="Q321" s="156"/>
      <c r="R321" s="158" t="s">
        <v>278</v>
      </c>
      <c r="S321" s="156"/>
      <c r="T321" s="155" t="s">
        <v>261</v>
      </c>
    </row>
    <row r="322" spans="1:20" ht="73.5" customHeight="1" x14ac:dyDescent="0.5">
      <c r="A322" s="160" t="s">
        <v>646</v>
      </c>
      <c r="B322" s="160"/>
      <c r="C322" s="159" t="s">
        <v>722</v>
      </c>
      <c r="D322" s="160" t="s">
        <v>288</v>
      </c>
      <c r="E322" s="160" t="s">
        <v>277</v>
      </c>
      <c r="F322" s="160" t="s">
        <v>1186</v>
      </c>
      <c r="G322" s="160" t="s">
        <v>826</v>
      </c>
      <c r="H322" s="160" t="s">
        <v>81</v>
      </c>
      <c r="I322" s="160" t="s">
        <v>677</v>
      </c>
      <c r="J322" s="160" t="s">
        <v>1005</v>
      </c>
      <c r="K322" s="161">
        <v>2</v>
      </c>
      <c r="L322" s="160" t="s">
        <v>911</v>
      </c>
      <c r="M322" s="160" t="s">
        <v>826</v>
      </c>
      <c r="N322" s="160" t="s">
        <v>1129</v>
      </c>
      <c r="O322" s="160" t="s">
        <v>1128</v>
      </c>
      <c r="P322" s="160" t="s">
        <v>1123</v>
      </c>
      <c r="Q322" s="160"/>
      <c r="R322" s="162" t="s">
        <v>278</v>
      </c>
      <c r="S322" s="160"/>
      <c r="T322" s="159" t="s">
        <v>261</v>
      </c>
    </row>
    <row r="323" spans="1:20" ht="42" customHeight="1" x14ac:dyDescent="0.5">
      <c r="A323" s="156" t="s">
        <v>646</v>
      </c>
      <c r="B323" s="156"/>
      <c r="C323" s="155" t="s">
        <v>724</v>
      </c>
      <c r="D323" s="156" t="s">
        <v>288</v>
      </c>
      <c r="E323" s="156" t="s">
        <v>277</v>
      </c>
      <c r="F323" s="156" t="s">
        <v>1186</v>
      </c>
      <c r="G323" s="156" t="s">
        <v>826</v>
      </c>
      <c r="H323" s="156" t="s">
        <v>81</v>
      </c>
      <c r="I323" s="156" t="s">
        <v>723</v>
      </c>
      <c r="J323" s="156" t="s">
        <v>1005</v>
      </c>
      <c r="K323" s="157">
        <v>4</v>
      </c>
      <c r="L323" s="156" t="s">
        <v>911</v>
      </c>
      <c r="M323" s="156" t="s">
        <v>826</v>
      </c>
      <c r="N323" s="156" t="s">
        <v>1192</v>
      </c>
      <c r="O323" s="156" t="s">
        <v>1183</v>
      </c>
      <c r="P323" s="156" t="s">
        <v>1182</v>
      </c>
      <c r="Q323" s="156"/>
      <c r="R323" s="158" t="s">
        <v>278</v>
      </c>
      <c r="S323" s="156" t="s">
        <v>840</v>
      </c>
      <c r="T323" s="155" t="s">
        <v>261</v>
      </c>
    </row>
    <row r="324" spans="1:20" ht="31.5" customHeight="1" x14ac:dyDescent="0.5">
      <c r="A324" s="160" t="s">
        <v>646</v>
      </c>
      <c r="B324" s="160"/>
      <c r="C324" s="159" t="s">
        <v>726</v>
      </c>
      <c r="D324" s="160" t="s">
        <v>288</v>
      </c>
      <c r="E324" s="160" t="s">
        <v>277</v>
      </c>
      <c r="F324" s="160" t="s">
        <v>1186</v>
      </c>
      <c r="G324" s="160" t="s">
        <v>826</v>
      </c>
      <c r="H324" s="160" t="s">
        <v>81</v>
      </c>
      <c r="I324" s="160" t="s">
        <v>455</v>
      </c>
      <c r="J324" s="160" t="s">
        <v>1005</v>
      </c>
      <c r="K324" s="161">
        <v>4</v>
      </c>
      <c r="L324" s="160" t="s">
        <v>992</v>
      </c>
      <c r="M324" s="160" t="s">
        <v>826</v>
      </c>
      <c r="N324" s="160" t="s">
        <v>1182</v>
      </c>
      <c r="O324" s="160" t="s">
        <v>1179</v>
      </c>
      <c r="P324" s="160" t="s">
        <v>1123</v>
      </c>
      <c r="Q324" s="160"/>
      <c r="R324" s="162" t="s">
        <v>295</v>
      </c>
      <c r="S324" s="160" t="s">
        <v>840</v>
      </c>
      <c r="T324" s="159" t="s">
        <v>261</v>
      </c>
    </row>
    <row r="325" spans="1:20" ht="42" customHeight="1" x14ac:dyDescent="0.5">
      <c r="A325" s="156" t="s">
        <v>646</v>
      </c>
      <c r="B325" s="156"/>
      <c r="C325" s="155" t="s">
        <v>727</v>
      </c>
      <c r="D325" s="156" t="s">
        <v>288</v>
      </c>
      <c r="E325" s="156" t="s">
        <v>277</v>
      </c>
      <c r="F325" s="156" t="s">
        <v>1186</v>
      </c>
      <c r="G325" s="156" t="s">
        <v>826</v>
      </c>
      <c r="H325" s="156" t="s">
        <v>81</v>
      </c>
      <c r="I325" s="156" t="s">
        <v>669</v>
      </c>
      <c r="J325" s="156" t="s">
        <v>1005</v>
      </c>
      <c r="K325" s="157">
        <v>4</v>
      </c>
      <c r="L325" s="156" t="s">
        <v>1073</v>
      </c>
      <c r="M325" s="156" t="s">
        <v>826</v>
      </c>
      <c r="N325" s="156" t="s">
        <v>1184</v>
      </c>
      <c r="O325" s="156" t="s">
        <v>1180</v>
      </c>
      <c r="P325" s="156" t="s">
        <v>1172</v>
      </c>
      <c r="Q325" s="156"/>
      <c r="R325" s="158" t="s">
        <v>295</v>
      </c>
      <c r="S325" s="156" t="s">
        <v>840</v>
      </c>
      <c r="T325" s="155" t="s">
        <v>261</v>
      </c>
    </row>
    <row r="326" spans="1:20" ht="31.5" customHeight="1" x14ac:dyDescent="0.5">
      <c r="A326" s="160" t="s">
        <v>646</v>
      </c>
      <c r="B326" s="160"/>
      <c r="C326" s="159" t="s">
        <v>728</v>
      </c>
      <c r="D326" s="160" t="s">
        <v>288</v>
      </c>
      <c r="E326" s="160" t="s">
        <v>277</v>
      </c>
      <c r="F326" s="160" t="s">
        <v>1186</v>
      </c>
      <c r="G326" s="160" t="s">
        <v>826</v>
      </c>
      <c r="H326" s="160" t="s">
        <v>81</v>
      </c>
      <c r="I326" s="160" t="s">
        <v>485</v>
      </c>
      <c r="J326" s="160" t="s">
        <v>1005</v>
      </c>
      <c r="K326" s="161">
        <v>4</v>
      </c>
      <c r="L326" s="160" t="s">
        <v>1023</v>
      </c>
      <c r="M326" s="160" t="s">
        <v>826</v>
      </c>
      <c r="N326" s="160" t="s">
        <v>1006</v>
      </c>
      <c r="O326" s="160" t="s">
        <v>1178</v>
      </c>
      <c r="P326" s="160" t="s">
        <v>1006</v>
      </c>
      <c r="Q326" s="160"/>
      <c r="R326" s="162" t="s">
        <v>295</v>
      </c>
      <c r="S326" s="160" t="s">
        <v>840</v>
      </c>
      <c r="T326" s="159" t="s">
        <v>261</v>
      </c>
    </row>
    <row r="327" spans="1:20" ht="63" customHeight="1" x14ac:dyDescent="0.5">
      <c r="A327" s="156" t="s">
        <v>646</v>
      </c>
      <c r="B327" s="156"/>
      <c r="C327" s="155" t="s">
        <v>731</v>
      </c>
      <c r="D327" s="156" t="s">
        <v>288</v>
      </c>
      <c r="E327" s="156" t="s">
        <v>277</v>
      </c>
      <c r="F327" s="156" t="s">
        <v>1186</v>
      </c>
      <c r="G327" s="156" t="s">
        <v>826</v>
      </c>
      <c r="H327" s="156" t="s">
        <v>81</v>
      </c>
      <c r="I327" s="156" t="s">
        <v>730</v>
      </c>
      <c r="J327" s="156" t="s">
        <v>1005</v>
      </c>
      <c r="K327" s="157">
        <v>2</v>
      </c>
      <c r="L327" s="156" t="s">
        <v>842</v>
      </c>
      <c r="M327" s="156" t="s">
        <v>826</v>
      </c>
      <c r="N327" s="156" t="s">
        <v>1184</v>
      </c>
      <c r="O327" s="156" t="s">
        <v>1182</v>
      </c>
      <c r="P327" s="156" t="s">
        <v>1182</v>
      </c>
      <c r="Q327" s="156"/>
      <c r="R327" s="158" t="s">
        <v>278</v>
      </c>
      <c r="S327" s="156" t="s">
        <v>840</v>
      </c>
      <c r="T327" s="155" t="s">
        <v>261</v>
      </c>
    </row>
    <row r="328" spans="1:20" ht="42" customHeight="1" x14ac:dyDescent="0.5">
      <c r="A328" s="160" t="s">
        <v>646</v>
      </c>
      <c r="B328" s="160"/>
      <c r="C328" s="159" t="s">
        <v>732</v>
      </c>
      <c r="D328" s="160" t="s">
        <v>288</v>
      </c>
      <c r="E328" s="160" t="s">
        <v>277</v>
      </c>
      <c r="F328" s="160" t="s">
        <v>1186</v>
      </c>
      <c r="G328" s="160" t="s">
        <v>826</v>
      </c>
      <c r="H328" s="160" t="s">
        <v>81</v>
      </c>
      <c r="I328" s="160" t="s">
        <v>518</v>
      </c>
      <c r="J328" s="160" t="s">
        <v>1005</v>
      </c>
      <c r="K328" s="161">
        <v>2</v>
      </c>
      <c r="L328" s="160" t="s">
        <v>977</v>
      </c>
      <c r="M328" s="160" t="s">
        <v>826</v>
      </c>
      <c r="N328" s="160" t="s">
        <v>1178</v>
      </c>
      <c r="O328" s="160" t="s">
        <v>1174</v>
      </c>
      <c r="P328" s="160" t="s">
        <v>1172</v>
      </c>
      <c r="Q328" s="160"/>
      <c r="R328" s="162" t="s">
        <v>278</v>
      </c>
      <c r="S328" s="160" t="s">
        <v>840</v>
      </c>
      <c r="T328" s="159" t="s">
        <v>261</v>
      </c>
    </row>
    <row r="329" spans="1:20" ht="52.5" customHeight="1" x14ac:dyDescent="0.5">
      <c r="A329" s="156" t="s">
        <v>646</v>
      </c>
      <c r="B329" s="156"/>
      <c r="C329" s="155" t="s">
        <v>733</v>
      </c>
      <c r="D329" s="156" t="s">
        <v>288</v>
      </c>
      <c r="E329" s="156" t="s">
        <v>277</v>
      </c>
      <c r="F329" s="156" t="s">
        <v>1186</v>
      </c>
      <c r="G329" s="156" t="s">
        <v>826</v>
      </c>
      <c r="H329" s="156" t="s">
        <v>81</v>
      </c>
      <c r="I329" s="156" t="s">
        <v>702</v>
      </c>
      <c r="J329" s="156" t="s">
        <v>1005</v>
      </c>
      <c r="K329" s="157">
        <v>2</v>
      </c>
      <c r="L329" s="156" t="s">
        <v>816</v>
      </c>
      <c r="M329" s="156" t="s">
        <v>826</v>
      </c>
      <c r="N329" s="156" t="s">
        <v>1180</v>
      </c>
      <c r="O329" s="156" t="s">
        <v>1178</v>
      </c>
      <c r="P329" s="156" t="s">
        <v>1172</v>
      </c>
      <c r="Q329" s="156"/>
      <c r="R329" s="158" t="s">
        <v>295</v>
      </c>
      <c r="S329" s="156"/>
      <c r="T329" s="155" t="s">
        <v>261</v>
      </c>
    </row>
    <row r="330" spans="1:20" ht="63" customHeight="1" x14ac:dyDescent="0.5">
      <c r="A330" s="160" t="s">
        <v>646</v>
      </c>
      <c r="B330" s="160"/>
      <c r="C330" s="159" t="s">
        <v>734</v>
      </c>
      <c r="D330" s="160" t="s">
        <v>288</v>
      </c>
      <c r="E330" s="160" t="s">
        <v>277</v>
      </c>
      <c r="F330" s="160" t="s">
        <v>1186</v>
      </c>
      <c r="G330" s="160" t="s">
        <v>826</v>
      </c>
      <c r="H330" s="160" t="s">
        <v>81</v>
      </c>
      <c r="I330" s="160" t="s">
        <v>457</v>
      </c>
      <c r="J330" s="160" t="s">
        <v>1005</v>
      </c>
      <c r="K330" s="161">
        <v>2</v>
      </c>
      <c r="L330" s="160" t="s">
        <v>842</v>
      </c>
      <c r="M330" s="160" t="s">
        <v>826</v>
      </c>
      <c r="N330" s="160" t="s">
        <v>1184</v>
      </c>
      <c r="O330" s="160" t="s">
        <v>1184</v>
      </c>
      <c r="P330" s="160" t="s">
        <v>1182</v>
      </c>
      <c r="Q330" s="160"/>
      <c r="R330" s="162" t="s">
        <v>295</v>
      </c>
      <c r="S330" s="160" t="s">
        <v>840</v>
      </c>
      <c r="T330" s="159" t="s">
        <v>261</v>
      </c>
    </row>
    <row r="331" spans="1:20" ht="31.5" customHeight="1" x14ac:dyDescent="0.5">
      <c r="A331" s="156" t="s">
        <v>646</v>
      </c>
      <c r="B331" s="156"/>
      <c r="C331" s="155" t="s">
        <v>735</v>
      </c>
      <c r="D331" s="156" t="s">
        <v>288</v>
      </c>
      <c r="E331" s="156" t="s">
        <v>277</v>
      </c>
      <c r="F331" s="156" t="s">
        <v>1186</v>
      </c>
      <c r="G331" s="156" t="s">
        <v>826</v>
      </c>
      <c r="H331" s="156" t="s">
        <v>81</v>
      </c>
      <c r="I331" s="156" t="s">
        <v>498</v>
      </c>
      <c r="J331" s="156" t="s">
        <v>1005</v>
      </c>
      <c r="K331" s="157">
        <v>2</v>
      </c>
      <c r="L331" s="156" t="s">
        <v>1193</v>
      </c>
      <c r="M331" s="156" t="s">
        <v>826</v>
      </c>
      <c r="N331" s="156" t="s">
        <v>1182</v>
      </c>
      <c r="O331" s="156" t="s">
        <v>1179</v>
      </c>
      <c r="P331" s="156" t="s">
        <v>1172</v>
      </c>
      <c r="Q331" s="156"/>
      <c r="R331" s="158" t="s">
        <v>295</v>
      </c>
      <c r="S331" s="156" t="s">
        <v>840</v>
      </c>
      <c r="T331" s="155" t="s">
        <v>261</v>
      </c>
    </row>
    <row r="332" spans="1:20" ht="63" customHeight="1" x14ac:dyDescent="0.5">
      <c r="A332" s="160" t="s">
        <v>646</v>
      </c>
      <c r="B332" s="160"/>
      <c r="C332" s="159" t="s">
        <v>736</v>
      </c>
      <c r="D332" s="160" t="s">
        <v>288</v>
      </c>
      <c r="E332" s="160" t="s">
        <v>277</v>
      </c>
      <c r="F332" s="160" t="s">
        <v>1186</v>
      </c>
      <c r="G332" s="160" t="s">
        <v>826</v>
      </c>
      <c r="H332" s="160" t="s">
        <v>81</v>
      </c>
      <c r="I332" s="160" t="s">
        <v>500</v>
      </c>
      <c r="J332" s="160" t="s">
        <v>1005</v>
      </c>
      <c r="K332" s="161">
        <v>2</v>
      </c>
      <c r="L332" s="160" t="s">
        <v>1038</v>
      </c>
      <c r="M332" s="160" t="s">
        <v>826</v>
      </c>
      <c r="N332" s="160" t="s">
        <v>1179</v>
      </c>
      <c r="O332" s="160" t="s">
        <v>1174</v>
      </c>
      <c r="P332" s="160" t="s">
        <v>1172</v>
      </c>
      <c r="Q332" s="160"/>
      <c r="R332" s="162" t="s">
        <v>278</v>
      </c>
      <c r="S332" s="160" t="s">
        <v>840</v>
      </c>
      <c r="T332" s="159" t="s">
        <v>261</v>
      </c>
    </row>
    <row r="333" spans="1:20" ht="42" customHeight="1" x14ac:dyDescent="0.5">
      <c r="A333" s="156" t="s">
        <v>646</v>
      </c>
      <c r="B333" s="156"/>
      <c r="C333" s="155" t="s">
        <v>738</v>
      </c>
      <c r="D333" s="156" t="s">
        <v>288</v>
      </c>
      <c r="E333" s="156" t="s">
        <v>277</v>
      </c>
      <c r="F333" s="156" t="s">
        <v>1186</v>
      </c>
      <c r="G333" s="156" t="s">
        <v>831</v>
      </c>
      <c r="H333" s="156" t="s">
        <v>81</v>
      </c>
      <c r="I333" s="156" t="s">
        <v>737</v>
      </c>
      <c r="J333" s="156" t="s">
        <v>810</v>
      </c>
      <c r="K333" s="157">
        <v>1</v>
      </c>
      <c r="L333" s="156" t="s">
        <v>1194</v>
      </c>
      <c r="M333" s="156" t="s">
        <v>1132</v>
      </c>
      <c r="N333" s="156" t="s">
        <v>1133</v>
      </c>
      <c r="O333" s="156" t="s">
        <v>1133</v>
      </c>
      <c r="P333" s="156" t="s">
        <v>883</v>
      </c>
      <c r="Q333" s="156"/>
      <c r="R333" s="158"/>
      <c r="S333" s="156"/>
      <c r="T333" s="155" t="s">
        <v>261</v>
      </c>
    </row>
    <row r="334" spans="1:20" ht="63" customHeight="1" x14ac:dyDescent="0.5">
      <c r="A334" s="160" t="s">
        <v>646</v>
      </c>
      <c r="B334" s="160"/>
      <c r="C334" s="159" t="s">
        <v>739</v>
      </c>
      <c r="D334" s="160" t="s">
        <v>288</v>
      </c>
      <c r="E334" s="160" t="s">
        <v>277</v>
      </c>
      <c r="F334" s="160" t="s">
        <v>1195</v>
      </c>
      <c r="G334" s="160" t="s">
        <v>826</v>
      </c>
      <c r="H334" s="160" t="s">
        <v>81</v>
      </c>
      <c r="I334" s="160" t="s">
        <v>522</v>
      </c>
      <c r="J334" s="160" t="s">
        <v>1005</v>
      </c>
      <c r="K334" s="161">
        <v>2</v>
      </c>
      <c r="L334" s="160" t="s">
        <v>1196</v>
      </c>
      <c r="M334" s="160" t="s">
        <v>826</v>
      </c>
      <c r="N334" s="160" t="s">
        <v>1192</v>
      </c>
      <c r="O334" s="160" t="s">
        <v>1183</v>
      </c>
      <c r="P334" s="160" t="s">
        <v>1172</v>
      </c>
      <c r="Q334" s="160"/>
      <c r="R334" s="162" t="s">
        <v>278</v>
      </c>
      <c r="S334" s="160" t="s">
        <v>840</v>
      </c>
      <c r="T334" s="159" t="s">
        <v>261</v>
      </c>
    </row>
    <row r="335" spans="1:20" ht="42" customHeight="1" x14ac:dyDescent="0.5">
      <c r="A335" s="156" t="s">
        <v>646</v>
      </c>
      <c r="B335" s="156"/>
      <c r="C335" s="155" t="s">
        <v>740</v>
      </c>
      <c r="D335" s="156" t="s">
        <v>288</v>
      </c>
      <c r="E335" s="156" t="s">
        <v>277</v>
      </c>
      <c r="F335" s="156" t="s">
        <v>1195</v>
      </c>
      <c r="G335" s="156" t="s">
        <v>826</v>
      </c>
      <c r="H335" s="156" t="s">
        <v>81</v>
      </c>
      <c r="I335" s="156" t="s">
        <v>516</v>
      </c>
      <c r="J335" s="156" t="s">
        <v>1005</v>
      </c>
      <c r="K335" s="157">
        <v>2</v>
      </c>
      <c r="L335" s="156" t="s">
        <v>842</v>
      </c>
      <c r="M335" s="156" t="s">
        <v>826</v>
      </c>
      <c r="N335" s="156" t="s">
        <v>1172</v>
      </c>
      <c r="O335" s="156" t="s">
        <v>1182</v>
      </c>
      <c r="P335" s="156" t="s">
        <v>1172</v>
      </c>
      <c r="Q335" s="156"/>
      <c r="R335" s="158" t="s">
        <v>278</v>
      </c>
      <c r="S335" s="156" t="s">
        <v>840</v>
      </c>
      <c r="T335" s="155" t="s">
        <v>261</v>
      </c>
    </row>
    <row r="336" spans="1:20" ht="63" customHeight="1" x14ac:dyDescent="0.5">
      <c r="A336" s="160" t="s">
        <v>646</v>
      </c>
      <c r="B336" s="160"/>
      <c r="C336" s="159" t="s">
        <v>741</v>
      </c>
      <c r="D336" s="160" t="s">
        <v>288</v>
      </c>
      <c r="E336" s="160" t="s">
        <v>277</v>
      </c>
      <c r="F336" s="160" t="s">
        <v>1195</v>
      </c>
      <c r="G336" s="160" t="s">
        <v>826</v>
      </c>
      <c r="H336" s="160" t="s">
        <v>81</v>
      </c>
      <c r="I336" s="160" t="s">
        <v>514</v>
      </c>
      <c r="J336" s="160" t="s">
        <v>1005</v>
      </c>
      <c r="K336" s="161">
        <v>8</v>
      </c>
      <c r="L336" s="160" t="s">
        <v>906</v>
      </c>
      <c r="M336" s="160" t="s">
        <v>826</v>
      </c>
      <c r="N336" s="160" t="s">
        <v>1192</v>
      </c>
      <c r="O336" s="160" t="s">
        <v>1182</v>
      </c>
      <c r="P336" s="160" t="s">
        <v>1182</v>
      </c>
      <c r="Q336" s="160"/>
      <c r="R336" s="162" t="s">
        <v>278</v>
      </c>
      <c r="S336" s="160" t="s">
        <v>840</v>
      </c>
      <c r="T336" s="159" t="s">
        <v>261</v>
      </c>
    </row>
    <row r="337" spans="1:20" ht="31.5" customHeight="1" x14ac:dyDescent="0.5">
      <c r="A337" s="156" t="s">
        <v>646</v>
      </c>
      <c r="B337" s="156"/>
      <c r="C337" s="155" t="s">
        <v>743</v>
      </c>
      <c r="D337" s="156" t="s">
        <v>288</v>
      </c>
      <c r="E337" s="156" t="s">
        <v>277</v>
      </c>
      <c r="F337" s="156" t="s">
        <v>1197</v>
      </c>
      <c r="G337" s="156" t="s">
        <v>831</v>
      </c>
      <c r="H337" s="156" t="s">
        <v>81</v>
      </c>
      <c r="I337" s="156" t="s">
        <v>742</v>
      </c>
      <c r="J337" s="156" t="s">
        <v>810</v>
      </c>
      <c r="K337" s="157">
        <v>2</v>
      </c>
      <c r="L337" s="156" t="s">
        <v>951</v>
      </c>
      <c r="M337" s="156" t="s">
        <v>834</v>
      </c>
      <c r="N337" s="156" t="s">
        <v>974</v>
      </c>
      <c r="O337" s="156" t="s">
        <v>1186</v>
      </c>
      <c r="P337" s="156" t="s">
        <v>974</v>
      </c>
      <c r="Q337" s="156"/>
      <c r="R337" s="158"/>
      <c r="S337" s="156"/>
      <c r="T337" s="155" t="s">
        <v>261</v>
      </c>
    </row>
    <row r="338" spans="1:20" ht="42" customHeight="1" x14ac:dyDescent="0.5">
      <c r="A338" s="160" t="s">
        <v>646</v>
      </c>
      <c r="B338" s="160"/>
      <c r="C338" s="159" t="s">
        <v>745</v>
      </c>
      <c r="D338" s="160" t="s">
        <v>288</v>
      </c>
      <c r="E338" s="160" t="s">
        <v>277</v>
      </c>
      <c r="F338" s="160" t="s">
        <v>1197</v>
      </c>
      <c r="G338" s="160" t="s">
        <v>826</v>
      </c>
      <c r="H338" s="160" t="s">
        <v>81</v>
      </c>
      <c r="I338" s="160" t="s">
        <v>744</v>
      </c>
      <c r="J338" s="160" t="s">
        <v>110</v>
      </c>
      <c r="K338" s="161">
        <v>2</v>
      </c>
      <c r="L338" s="160" t="s">
        <v>1153</v>
      </c>
      <c r="M338" s="160" t="s">
        <v>826</v>
      </c>
      <c r="N338" s="160" t="s">
        <v>1198</v>
      </c>
      <c r="O338" s="160" t="s">
        <v>1183</v>
      </c>
      <c r="P338" s="160" t="s">
        <v>1172</v>
      </c>
      <c r="Q338" s="160"/>
      <c r="R338" s="162" t="s">
        <v>295</v>
      </c>
      <c r="S338" s="160"/>
      <c r="T338" s="159" t="s">
        <v>261</v>
      </c>
    </row>
    <row r="339" spans="1:20" ht="31.5" customHeight="1" x14ac:dyDescent="0.5">
      <c r="A339" s="156" t="s">
        <v>646</v>
      </c>
      <c r="B339" s="156"/>
      <c r="C339" s="155" t="s">
        <v>746</v>
      </c>
      <c r="D339" s="156" t="s">
        <v>282</v>
      </c>
      <c r="E339" s="156" t="s">
        <v>277</v>
      </c>
      <c r="F339" s="156" t="s">
        <v>1197</v>
      </c>
      <c r="G339" s="156" t="s">
        <v>831</v>
      </c>
      <c r="H339" s="156" t="s">
        <v>81</v>
      </c>
      <c r="I339" s="156" t="s">
        <v>303</v>
      </c>
      <c r="J339" s="156" t="s">
        <v>859</v>
      </c>
      <c r="K339" s="157">
        <v>7</v>
      </c>
      <c r="L339" s="156" t="s">
        <v>867</v>
      </c>
      <c r="M339" s="156" t="s">
        <v>812</v>
      </c>
      <c r="N339" s="156" t="s">
        <v>881</v>
      </c>
      <c r="O339" s="156" t="s">
        <v>1135</v>
      </c>
      <c r="P339" s="156" t="s">
        <v>1175</v>
      </c>
      <c r="Q339" s="156"/>
      <c r="R339" s="158"/>
      <c r="S339" s="156"/>
      <c r="T339" s="155" t="s">
        <v>261</v>
      </c>
    </row>
    <row r="340" spans="1:20" ht="42" customHeight="1" x14ac:dyDescent="0.5">
      <c r="A340" s="160" t="s">
        <v>646</v>
      </c>
      <c r="B340" s="160"/>
      <c r="C340" s="159" t="s">
        <v>747</v>
      </c>
      <c r="D340" s="160" t="s">
        <v>288</v>
      </c>
      <c r="E340" s="160" t="s">
        <v>277</v>
      </c>
      <c r="F340" s="160" t="s">
        <v>1199</v>
      </c>
      <c r="G340" s="160" t="s">
        <v>925</v>
      </c>
      <c r="H340" s="160" t="s">
        <v>81</v>
      </c>
      <c r="I340" s="160" t="s">
        <v>244</v>
      </c>
      <c r="J340" s="160" t="s">
        <v>1005</v>
      </c>
      <c r="K340" s="161">
        <v>150</v>
      </c>
      <c r="L340" s="160" t="s">
        <v>837</v>
      </c>
      <c r="M340" s="160" t="s">
        <v>826</v>
      </c>
      <c r="N340" s="160" t="s">
        <v>1171</v>
      </c>
      <c r="O340" s="160" t="s">
        <v>1179</v>
      </c>
      <c r="P340" s="160" t="s">
        <v>999</v>
      </c>
      <c r="Q340" s="160"/>
      <c r="R340" s="162" t="s">
        <v>93</v>
      </c>
      <c r="S340" s="160"/>
      <c r="T340" s="159" t="s">
        <v>261</v>
      </c>
    </row>
    <row r="341" spans="1:20" ht="31.5" customHeight="1" x14ac:dyDescent="0.5">
      <c r="A341" s="156" t="s">
        <v>646</v>
      </c>
      <c r="B341" s="156"/>
      <c r="C341" s="155" t="s">
        <v>748</v>
      </c>
      <c r="D341" s="156" t="s">
        <v>282</v>
      </c>
      <c r="E341" s="156" t="s">
        <v>277</v>
      </c>
      <c r="F341" s="156" t="s">
        <v>1200</v>
      </c>
      <c r="G341" s="156" t="s">
        <v>831</v>
      </c>
      <c r="H341" s="156" t="s">
        <v>81</v>
      </c>
      <c r="I341" s="156" t="s">
        <v>317</v>
      </c>
      <c r="J341" s="156" t="s">
        <v>859</v>
      </c>
      <c r="K341" s="157">
        <v>34</v>
      </c>
      <c r="L341" s="156" t="s">
        <v>1007</v>
      </c>
      <c r="M341" s="156" t="s">
        <v>834</v>
      </c>
      <c r="N341" s="156" t="s">
        <v>974</v>
      </c>
      <c r="O341" s="156" t="s">
        <v>1183</v>
      </c>
      <c r="P341" s="156" t="s">
        <v>974</v>
      </c>
      <c r="Q341" s="156"/>
      <c r="R341" s="158"/>
      <c r="S341" s="156"/>
      <c r="T341" s="155" t="s">
        <v>261</v>
      </c>
    </row>
    <row r="342" spans="1:20" ht="42" customHeight="1" x14ac:dyDescent="0.5">
      <c r="A342" s="160" t="s">
        <v>646</v>
      </c>
      <c r="B342" s="160"/>
      <c r="C342" s="159" t="s">
        <v>749</v>
      </c>
      <c r="D342" s="160" t="s">
        <v>282</v>
      </c>
      <c r="E342" s="160" t="s">
        <v>277</v>
      </c>
      <c r="F342" s="160" t="s">
        <v>1201</v>
      </c>
      <c r="G342" s="160" t="s">
        <v>831</v>
      </c>
      <c r="H342" s="160" t="s">
        <v>81</v>
      </c>
      <c r="I342" s="160" t="s">
        <v>737</v>
      </c>
      <c r="J342" s="160" t="s">
        <v>810</v>
      </c>
      <c r="K342" s="161">
        <v>1</v>
      </c>
      <c r="L342" s="160" t="s">
        <v>1194</v>
      </c>
      <c r="M342" s="160" t="s">
        <v>1132</v>
      </c>
      <c r="N342" s="160" t="s">
        <v>1133</v>
      </c>
      <c r="O342" s="160" t="s">
        <v>1133</v>
      </c>
      <c r="P342" s="160" t="s">
        <v>883</v>
      </c>
      <c r="Q342" s="160"/>
      <c r="R342" s="162"/>
      <c r="S342" s="160"/>
      <c r="T342" s="159" t="s">
        <v>261</v>
      </c>
    </row>
    <row r="343" spans="1:20" ht="31.5" customHeight="1" x14ac:dyDescent="0.5">
      <c r="A343" s="156" t="s">
        <v>646</v>
      </c>
      <c r="B343" s="156"/>
      <c r="C343" s="155" t="s">
        <v>750</v>
      </c>
      <c r="D343" s="156" t="s">
        <v>282</v>
      </c>
      <c r="E343" s="156" t="s">
        <v>277</v>
      </c>
      <c r="F343" s="156" t="s">
        <v>1202</v>
      </c>
      <c r="G343" s="156" t="s">
        <v>826</v>
      </c>
      <c r="H343" s="156" t="s">
        <v>81</v>
      </c>
      <c r="I343" s="156" t="s">
        <v>284</v>
      </c>
      <c r="J343" s="156" t="s">
        <v>110</v>
      </c>
      <c r="K343" s="157">
        <v>2</v>
      </c>
      <c r="L343" s="156" t="s">
        <v>917</v>
      </c>
      <c r="M343" s="156" t="s">
        <v>826</v>
      </c>
      <c r="N343" s="156" t="s">
        <v>1202</v>
      </c>
      <c r="O343" s="156" t="s">
        <v>1203</v>
      </c>
      <c r="P343" s="156" t="s">
        <v>1031</v>
      </c>
      <c r="Q343" s="156"/>
      <c r="R343" s="158" t="s">
        <v>93</v>
      </c>
      <c r="S343" s="156"/>
      <c r="T343" s="155" t="s">
        <v>261</v>
      </c>
    </row>
    <row r="344" spans="1:20" ht="42" customHeight="1" x14ac:dyDescent="0.5">
      <c r="A344" s="160" t="s">
        <v>752</v>
      </c>
      <c r="B344" s="160"/>
      <c r="C344" s="159" t="s">
        <v>753</v>
      </c>
      <c r="D344" s="160" t="s">
        <v>288</v>
      </c>
      <c r="E344" s="160" t="s">
        <v>277</v>
      </c>
      <c r="F344" s="160" t="s">
        <v>1204</v>
      </c>
      <c r="G344" s="160" t="s">
        <v>826</v>
      </c>
      <c r="H344" s="160" t="s">
        <v>81</v>
      </c>
      <c r="I344" s="160" t="s">
        <v>543</v>
      </c>
      <c r="J344" s="160" t="s">
        <v>1005</v>
      </c>
      <c r="K344" s="161">
        <v>2</v>
      </c>
      <c r="L344" s="160" t="s">
        <v>1073</v>
      </c>
      <c r="M344" s="160" t="s">
        <v>826</v>
      </c>
      <c r="N344" s="160" t="s">
        <v>1205</v>
      </c>
      <c r="O344" s="160" t="s">
        <v>1206</v>
      </c>
      <c r="P344" s="160" t="s">
        <v>1123</v>
      </c>
      <c r="Q344" s="160"/>
      <c r="R344" s="162" t="s">
        <v>295</v>
      </c>
      <c r="S344" s="160"/>
      <c r="T344" s="159" t="s">
        <v>261</v>
      </c>
    </row>
    <row r="345" spans="1:20" ht="31.5" customHeight="1" x14ac:dyDescent="0.5">
      <c r="A345" s="156" t="s">
        <v>752</v>
      </c>
      <c r="B345" s="156"/>
      <c r="C345" s="155" t="s">
        <v>755</v>
      </c>
      <c r="D345" s="156" t="s">
        <v>288</v>
      </c>
      <c r="E345" s="156" t="s">
        <v>277</v>
      </c>
      <c r="F345" s="156" t="s">
        <v>1204</v>
      </c>
      <c r="G345" s="156" t="s">
        <v>826</v>
      </c>
      <c r="H345" s="156" t="s">
        <v>81</v>
      </c>
      <c r="I345" s="156" t="s">
        <v>754</v>
      </c>
      <c r="J345" s="156" t="s">
        <v>1005</v>
      </c>
      <c r="K345" s="157">
        <v>3</v>
      </c>
      <c r="L345" s="156" t="s">
        <v>1073</v>
      </c>
      <c r="M345" s="156" t="s">
        <v>826</v>
      </c>
      <c r="N345" s="156" t="s">
        <v>1205</v>
      </c>
      <c r="O345" s="156" t="s">
        <v>1206</v>
      </c>
      <c r="P345" s="156" t="s">
        <v>1123</v>
      </c>
      <c r="Q345" s="156"/>
      <c r="R345" s="158" t="s">
        <v>295</v>
      </c>
      <c r="S345" s="156"/>
      <c r="T345" s="155" t="s">
        <v>261</v>
      </c>
    </row>
    <row r="346" spans="1:20" ht="42" customHeight="1" x14ac:dyDescent="0.5">
      <c r="A346" s="160" t="s">
        <v>752</v>
      </c>
      <c r="B346" s="160"/>
      <c r="C346" s="159" t="s">
        <v>756</v>
      </c>
      <c r="D346" s="160" t="s">
        <v>288</v>
      </c>
      <c r="E346" s="160" t="s">
        <v>277</v>
      </c>
      <c r="F346" s="160" t="s">
        <v>1204</v>
      </c>
      <c r="G346" s="160" t="s">
        <v>826</v>
      </c>
      <c r="H346" s="160" t="s">
        <v>81</v>
      </c>
      <c r="I346" s="160" t="s">
        <v>477</v>
      </c>
      <c r="J346" s="160" t="s">
        <v>1005</v>
      </c>
      <c r="K346" s="161">
        <v>2</v>
      </c>
      <c r="L346" s="160" t="s">
        <v>842</v>
      </c>
      <c r="M346" s="160" t="s">
        <v>826</v>
      </c>
      <c r="N346" s="160" t="s">
        <v>1202</v>
      </c>
      <c r="O346" s="160" t="s">
        <v>1206</v>
      </c>
      <c r="P346" s="160" t="s">
        <v>1123</v>
      </c>
      <c r="Q346" s="160"/>
      <c r="R346" s="162" t="s">
        <v>295</v>
      </c>
      <c r="S346" s="160"/>
      <c r="T346" s="159" t="s">
        <v>261</v>
      </c>
    </row>
    <row r="347" spans="1:20" ht="31.5" customHeight="1" x14ac:dyDescent="0.5">
      <c r="A347" s="156" t="s">
        <v>757</v>
      </c>
      <c r="B347" s="156"/>
      <c r="C347" s="155" t="s">
        <v>758</v>
      </c>
      <c r="D347" s="156" t="s">
        <v>282</v>
      </c>
      <c r="E347" s="156" t="s">
        <v>277</v>
      </c>
      <c r="F347" s="156" t="s">
        <v>1207</v>
      </c>
      <c r="G347" s="156" t="s">
        <v>831</v>
      </c>
      <c r="H347" s="156" t="s">
        <v>81</v>
      </c>
      <c r="I347" s="156" t="s">
        <v>303</v>
      </c>
      <c r="J347" s="156" t="s">
        <v>859</v>
      </c>
      <c r="K347" s="157">
        <v>10</v>
      </c>
      <c r="L347" s="156" t="s">
        <v>867</v>
      </c>
      <c r="M347" s="156" t="s">
        <v>812</v>
      </c>
      <c r="N347" s="156" t="s">
        <v>881</v>
      </c>
      <c r="O347" s="156" t="s">
        <v>1135</v>
      </c>
      <c r="P347" s="156" t="s">
        <v>1175</v>
      </c>
      <c r="Q347" s="156"/>
      <c r="R347" s="158"/>
      <c r="S347" s="156"/>
      <c r="T347" s="155" t="s">
        <v>261</v>
      </c>
    </row>
    <row r="348" spans="1:20" ht="31.5" customHeight="1" x14ac:dyDescent="0.5">
      <c r="A348" s="160" t="s">
        <v>752</v>
      </c>
      <c r="B348" s="160"/>
      <c r="C348" s="159" t="s">
        <v>759</v>
      </c>
      <c r="D348" s="160" t="s">
        <v>282</v>
      </c>
      <c r="E348" s="160" t="s">
        <v>277</v>
      </c>
      <c r="F348" s="160" t="s">
        <v>1207</v>
      </c>
      <c r="G348" s="160" t="s">
        <v>831</v>
      </c>
      <c r="H348" s="160" t="s">
        <v>81</v>
      </c>
      <c r="I348" s="160" t="s">
        <v>303</v>
      </c>
      <c r="J348" s="160" t="s">
        <v>859</v>
      </c>
      <c r="K348" s="161">
        <v>3</v>
      </c>
      <c r="L348" s="160" t="s">
        <v>867</v>
      </c>
      <c r="M348" s="160" t="s">
        <v>812</v>
      </c>
      <c r="N348" s="160" t="s">
        <v>881</v>
      </c>
      <c r="O348" s="160" t="s">
        <v>1135</v>
      </c>
      <c r="P348" s="160" t="s">
        <v>1175</v>
      </c>
      <c r="Q348" s="160"/>
      <c r="R348" s="162"/>
      <c r="S348" s="160"/>
      <c r="T348" s="159" t="s">
        <v>261</v>
      </c>
    </row>
    <row r="349" spans="1:20" ht="31.5" customHeight="1" x14ac:dyDescent="0.5">
      <c r="A349" s="156" t="s">
        <v>752</v>
      </c>
      <c r="B349" s="156"/>
      <c r="C349" s="155" t="s">
        <v>760</v>
      </c>
      <c r="D349" s="156" t="s">
        <v>282</v>
      </c>
      <c r="E349" s="156" t="s">
        <v>277</v>
      </c>
      <c r="F349" s="156" t="s">
        <v>1207</v>
      </c>
      <c r="G349" s="156" t="s">
        <v>831</v>
      </c>
      <c r="H349" s="156" t="s">
        <v>81</v>
      </c>
      <c r="I349" s="156" t="s">
        <v>303</v>
      </c>
      <c r="J349" s="156" t="s">
        <v>859</v>
      </c>
      <c r="K349" s="157">
        <v>3</v>
      </c>
      <c r="L349" s="156" t="s">
        <v>867</v>
      </c>
      <c r="M349" s="156" t="s">
        <v>812</v>
      </c>
      <c r="N349" s="156" t="s">
        <v>881</v>
      </c>
      <c r="O349" s="156" t="s">
        <v>1135</v>
      </c>
      <c r="P349" s="156" t="s">
        <v>1175</v>
      </c>
      <c r="Q349" s="156"/>
      <c r="R349" s="158"/>
      <c r="S349" s="156"/>
      <c r="T349" s="155" t="s">
        <v>261</v>
      </c>
    </row>
    <row r="350" spans="1:20" ht="31.5" customHeight="1" x14ac:dyDescent="0.5">
      <c r="A350" s="160" t="s">
        <v>752</v>
      </c>
      <c r="B350" s="160"/>
      <c r="C350" s="159" t="s">
        <v>762</v>
      </c>
      <c r="D350" s="160" t="s">
        <v>282</v>
      </c>
      <c r="E350" s="160" t="s">
        <v>277</v>
      </c>
      <c r="F350" s="160" t="s">
        <v>1207</v>
      </c>
      <c r="G350" s="160" t="s">
        <v>831</v>
      </c>
      <c r="H350" s="160" t="s">
        <v>81</v>
      </c>
      <c r="I350" s="160" t="s">
        <v>761</v>
      </c>
      <c r="J350" s="160" t="s">
        <v>810</v>
      </c>
      <c r="K350" s="161">
        <v>3</v>
      </c>
      <c r="L350" s="160" t="s">
        <v>1127</v>
      </c>
      <c r="M350" s="160" t="s">
        <v>812</v>
      </c>
      <c r="N350" s="160" t="s">
        <v>884</v>
      </c>
      <c r="O350" s="160" t="s">
        <v>1208</v>
      </c>
      <c r="P350" s="160" t="s">
        <v>1208</v>
      </c>
      <c r="Q350" s="160"/>
      <c r="R350" s="162"/>
      <c r="S350" s="160"/>
      <c r="T350" s="159" t="s">
        <v>261</v>
      </c>
    </row>
    <row r="351" spans="1:20" ht="42" customHeight="1" x14ac:dyDescent="0.5">
      <c r="A351" s="156" t="s">
        <v>646</v>
      </c>
      <c r="B351" s="156"/>
      <c r="C351" s="155" t="s">
        <v>1209</v>
      </c>
      <c r="D351" s="156" t="s">
        <v>288</v>
      </c>
      <c r="E351" s="156" t="s">
        <v>820</v>
      </c>
      <c r="F351" s="156" t="s">
        <v>1210</v>
      </c>
      <c r="G351" s="156" t="s">
        <v>826</v>
      </c>
      <c r="H351" s="156" t="s">
        <v>81</v>
      </c>
      <c r="I351" s="156" t="s">
        <v>468</v>
      </c>
      <c r="J351" s="156" t="s">
        <v>110</v>
      </c>
      <c r="K351" s="157">
        <v>2</v>
      </c>
      <c r="L351" s="156"/>
      <c r="M351" s="156"/>
      <c r="N351" s="156"/>
      <c r="O351" s="156"/>
      <c r="P351" s="156"/>
      <c r="Q351" s="156"/>
      <c r="R351" s="158"/>
      <c r="S351" s="156"/>
      <c r="T351" s="155" t="s">
        <v>261</v>
      </c>
    </row>
    <row r="352" spans="1:20" ht="63" customHeight="1" x14ac:dyDescent="0.5">
      <c r="A352" s="160" t="s">
        <v>646</v>
      </c>
      <c r="B352" s="160"/>
      <c r="C352" s="159" t="s">
        <v>764</v>
      </c>
      <c r="D352" s="160" t="s">
        <v>288</v>
      </c>
      <c r="E352" s="160" t="s">
        <v>277</v>
      </c>
      <c r="F352" s="160" t="s">
        <v>1211</v>
      </c>
      <c r="G352" s="160" t="s">
        <v>826</v>
      </c>
      <c r="H352" s="160" t="s">
        <v>81</v>
      </c>
      <c r="I352" s="160" t="s">
        <v>492</v>
      </c>
      <c r="J352" s="160" t="s">
        <v>1005</v>
      </c>
      <c r="K352" s="161">
        <v>5</v>
      </c>
      <c r="L352" s="160" t="s">
        <v>1000</v>
      </c>
      <c r="M352" s="160" t="s">
        <v>826</v>
      </c>
      <c r="N352" s="160" t="s">
        <v>1207</v>
      </c>
      <c r="O352" s="160" t="s">
        <v>1212</v>
      </c>
      <c r="P352" s="160" t="s">
        <v>1172</v>
      </c>
      <c r="Q352" s="160"/>
      <c r="R352" s="162" t="s">
        <v>295</v>
      </c>
      <c r="S352" s="160"/>
      <c r="T352" s="159" t="s">
        <v>261</v>
      </c>
    </row>
    <row r="353" spans="1:20" ht="42" customHeight="1" x14ac:dyDescent="0.5">
      <c r="A353" s="156" t="s">
        <v>646</v>
      </c>
      <c r="B353" s="156"/>
      <c r="C353" s="155" t="s">
        <v>765</v>
      </c>
      <c r="D353" s="156" t="s">
        <v>288</v>
      </c>
      <c r="E353" s="156" t="s">
        <v>277</v>
      </c>
      <c r="F353" s="156" t="s">
        <v>1211</v>
      </c>
      <c r="G353" s="156" t="s">
        <v>826</v>
      </c>
      <c r="H353" s="156" t="s">
        <v>81</v>
      </c>
      <c r="I353" s="156" t="s">
        <v>533</v>
      </c>
      <c r="J353" s="156" t="s">
        <v>1005</v>
      </c>
      <c r="K353" s="157">
        <v>4</v>
      </c>
      <c r="L353" s="156" t="s">
        <v>1061</v>
      </c>
      <c r="M353" s="156" t="s">
        <v>826</v>
      </c>
      <c r="N353" s="156" t="s">
        <v>1213</v>
      </c>
      <c r="O353" s="156" t="s">
        <v>1212</v>
      </c>
      <c r="P353" s="156" t="s">
        <v>1205</v>
      </c>
      <c r="Q353" s="156"/>
      <c r="R353" s="158" t="s">
        <v>295</v>
      </c>
      <c r="S353" s="156" t="s">
        <v>840</v>
      </c>
      <c r="T353" s="155" t="s">
        <v>261</v>
      </c>
    </row>
    <row r="354" spans="1:20" ht="31.5" customHeight="1" x14ac:dyDescent="0.5">
      <c r="A354" s="160" t="s">
        <v>646</v>
      </c>
      <c r="B354" s="160"/>
      <c r="C354" s="159" t="s">
        <v>768</v>
      </c>
      <c r="D354" s="160" t="s">
        <v>288</v>
      </c>
      <c r="E354" s="160" t="s">
        <v>277</v>
      </c>
      <c r="F354" s="160" t="s">
        <v>1211</v>
      </c>
      <c r="G354" s="160" t="s">
        <v>826</v>
      </c>
      <c r="H354" s="160" t="s">
        <v>81</v>
      </c>
      <c r="I354" s="160" t="s">
        <v>767</v>
      </c>
      <c r="J354" s="160" t="s">
        <v>1005</v>
      </c>
      <c r="K354" s="161">
        <v>4</v>
      </c>
      <c r="L354" s="160" t="s">
        <v>1060</v>
      </c>
      <c r="M354" s="160" t="s">
        <v>826</v>
      </c>
      <c r="N354" s="160" t="s">
        <v>1213</v>
      </c>
      <c r="O354" s="160" t="s">
        <v>1213</v>
      </c>
      <c r="P354" s="160" t="s">
        <v>1123</v>
      </c>
      <c r="Q354" s="160"/>
      <c r="R354" s="162" t="s">
        <v>278</v>
      </c>
      <c r="S354" s="160" t="s">
        <v>840</v>
      </c>
      <c r="T354" s="159" t="s">
        <v>261</v>
      </c>
    </row>
    <row r="355" spans="1:20" ht="73.5" customHeight="1" x14ac:dyDescent="0.5">
      <c r="A355" s="156" t="s">
        <v>646</v>
      </c>
      <c r="B355" s="156"/>
      <c r="C355" s="155" t="s">
        <v>770</v>
      </c>
      <c r="D355" s="156" t="s">
        <v>288</v>
      </c>
      <c r="E355" s="156" t="s">
        <v>277</v>
      </c>
      <c r="F355" s="156" t="s">
        <v>1211</v>
      </c>
      <c r="G355" s="156" t="s">
        <v>826</v>
      </c>
      <c r="H355" s="156" t="s">
        <v>81</v>
      </c>
      <c r="I355" s="156" t="s">
        <v>769</v>
      </c>
      <c r="J355" s="156" t="s">
        <v>1005</v>
      </c>
      <c r="K355" s="157">
        <v>4</v>
      </c>
      <c r="L355" s="156" t="s">
        <v>983</v>
      </c>
      <c r="M355" s="156" t="s">
        <v>826</v>
      </c>
      <c r="N355" s="156" t="s">
        <v>1213</v>
      </c>
      <c r="O355" s="156" t="s">
        <v>1212</v>
      </c>
      <c r="P355" s="156" t="s">
        <v>1205</v>
      </c>
      <c r="Q355" s="156"/>
      <c r="R355" s="158" t="s">
        <v>278</v>
      </c>
      <c r="S355" s="156" t="s">
        <v>840</v>
      </c>
      <c r="T355" s="155" t="s">
        <v>261</v>
      </c>
    </row>
    <row r="356" spans="1:20" ht="31.5" customHeight="1" x14ac:dyDescent="0.5">
      <c r="A356" s="160" t="s">
        <v>646</v>
      </c>
      <c r="B356" s="160"/>
      <c r="C356" s="159" t="s">
        <v>772</v>
      </c>
      <c r="D356" s="160" t="s">
        <v>288</v>
      </c>
      <c r="E356" s="160" t="s">
        <v>277</v>
      </c>
      <c r="F356" s="160" t="s">
        <v>1211</v>
      </c>
      <c r="G356" s="160" t="s">
        <v>826</v>
      </c>
      <c r="H356" s="160" t="s">
        <v>81</v>
      </c>
      <c r="I356" s="160" t="s">
        <v>771</v>
      </c>
      <c r="J356" s="160" t="s">
        <v>1005</v>
      </c>
      <c r="K356" s="161">
        <v>10</v>
      </c>
      <c r="L356" s="160" t="s">
        <v>911</v>
      </c>
      <c r="M356" s="160" t="s">
        <v>826</v>
      </c>
      <c r="N356" s="160" t="s">
        <v>1214</v>
      </c>
      <c r="O356" s="160" t="s">
        <v>1215</v>
      </c>
      <c r="P356" s="160" t="s">
        <v>1140</v>
      </c>
      <c r="Q356" s="160"/>
      <c r="R356" s="162" t="s">
        <v>295</v>
      </c>
      <c r="S356" s="160" t="s">
        <v>840</v>
      </c>
      <c r="T356" s="159" t="s">
        <v>261</v>
      </c>
    </row>
    <row r="357" spans="1:20" ht="52.5" customHeight="1" x14ac:dyDescent="0.5">
      <c r="A357" s="156" t="s">
        <v>646</v>
      </c>
      <c r="B357" s="156"/>
      <c r="C357" s="155" t="s">
        <v>774</v>
      </c>
      <c r="D357" s="156" t="s">
        <v>288</v>
      </c>
      <c r="E357" s="156" t="s">
        <v>277</v>
      </c>
      <c r="F357" s="156" t="s">
        <v>1211</v>
      </c>
      <c r="G357" s="156" t="s">
        <v>826</v>
      </c>
      <c r="H357" s="156" t="s">
        <v>81</v>
      </c>
      <c r="I357" s="156" t="s">
        <v>440</v>
      </c>
      <c r="J357" s="156" t="s">
        <v>1005</v>
      </c>
      <c r="K357" s="157">
        <v>4</v>
      </c>
      <c r="L357" s="156" t="s">
        <v>906</v>
      </c>
      <c r="M357" s="156" t="s">
        <v>826</v>
      </c>
      <c r="N357" s="156" t="s">
        <v>1213</v>
      </c>
      <c r="O357" s="156" t="s">
        <v>1212</v>
      </c>
      <c r="P357" s="156" t="s">
        <v>1123</v>
      </c>
      <c r="Q357" s="156"/>
      <c r="R357" s="158" t="s">
        <v>295</v>
      </c>
      <c r="S357" s="156" t="s">
        <v>840</v>
      </c>
      <c r="T357" s="155" t="s">
        <v>261</v>
      </c>
    </row>
    <row r="358" spans="1:20" ht="42" customHeight="1" x14ac:dyDescent="0.5">
      <c r="A358" s="160" t="s">
        <v>646</v>
      </c>
      <c r="B358" s="160"/>
      <c r="C358" s="159" t="s">
        <v>775</v>
      </c>
      <c r="D358" s="160" t="s">
        <v>288</v>
      </c>
      <c r="E358" s="160" t="s">
        <v>277</v>
      </c>
      <c r="F358" s="160" t="s">
        <v>1211</v>
      </c>
      <c r="G358" s="160" t="s">
        <v>826</v>
      </c>
      <c r="H358" s="160" t="s">
        <v>81</v>
      </c>
      <c r="I358" s="160" t="s">
        <v>579</v>
      </c>
      <c r="J358" s="160" t="s">
        <v>1005</v>
      </c>
      <c r="K358" s="161">
        <v>3</v>
      </c>
      <c r="L358" s="160" t="s">
        <v>906</v>
      </c>
      <c r="M358" s="160" t="s">
        <v>826</v>
      </c>
      <c r="N358" s="160" t="s">
        <v>1216</v>
      </c>
      <c r="O358" s="160" t="s">
        <v>1201</v>
      </c>
      <c r="P358" s="160" t="s">
        <v>1123</v>
      </c>
      <c r="Q358" s="160"/>
      <c r="R358" s="162" t="s">
        <v>278</v>
      </c>
      <c r="S358" s="160"/>
      <c r="T358" s="159" t="s">
        <v>261</v>
      </c>
    </row>
    <row r="359" spans="1:20" ht="42" customHeight="1" x14ac:dyDescent="0.5">
      <c r="A359" s="156" t="s">
        <v>646</v>
      </c>
      <c r="B359" s="156"/>
      <c r="C359" s="155" t="s">
        <v>777</v>
      </c>
      <c r="D359" s="156" t="s">
        <v>288</v>
      </c>
      <c r="E359" s="156" t="s">
        <v>277</v>
      </c>
      <c r="F359" s="156" t="s">
        <v>1211</v>
      </c>
      <c r="G359" s="156" t="s">
        <v>826</v>
      </c>
      <c r="H359" s="156" t="s">
        <v>81</v>
      </c>
      <c r="I359" s="156" t="s">
        <v>776</v>
      </c>
      <c r="J359" s="156" t="s">
        <v>1005</v>
      </c>
      <c r="K359" s="157">
        <v>4</v>
      </c>
      <c r="L359" s="156" t="s">
        <v>842</v>
      </c>
      <c r="M359" s="156" t="s">
        <v>826</v>
      </c>
      <c r="N359" s="156" t="s">
        <v>1207</v>
      </c>
      <c r="O359" s="156" t="s">
        <v>1204</v>
      </c>
      <c r="P359" s="156" t="s">
        <v>1123</v>
      </c>
      <c r="Q359" s="156"/>
      <c r="R359" s="158" t="s">
        <v>295</v>
      </c>
      <c r="S359" s="156" t="s">
        <v>840</v>
      </c>
      <c r="T359" s="155" t="s">
        <v>261</v>
      </c>
    </row>
    <row r="360" spans="1:20" ht="42" customHeight="1" x14ac:dyDescent="0.5">
      <c r="A360" s="160" t="s">
        <v>646</v>
      </c>
      <c r="B360" s="160"/>
      <c r="C360" s="159" t="s">
        <v>778</v>
      </c>
      <c r="D360" s="160" t="s">
        <v>288</v>
      </c>
      <c r="E360" s="160" t="s">
        <v>277</v>
      </c>
      <c r="F360" s="160" t="s">
        <v>1211</v>
      </c>
      <c r="G360" s="160" t="s">
        <v>826</v>
      </c>
      <c r="H360" s="160" t="s">
        <v>81</v>
      </c>
      <c r="I360" s="160" t="s">
        <v>525</v>
      </c>
      <c r="J360" s="160" t="s">
        <v>1005</v>
      </c>
      <c r="K360" s="161">
        <v>3</v>
      </c>
      <c r="L360" s="160" t="s">
        <v>842</v>
      </c>
      <c r="M360" s="160" t="s">
        <v>826</v>
      </c>
      <c r="N360" s="160" t="s">
        <v>1202</v>
      </c>
      <c r="O360" s="160" t="s">
        <v>1206</v>
      </c>
      <c r="P360" s="160" t="s">
        <v>1123</v>
      </c>
      <c r="Q360" s="160"/>
      <c r="R360" s="162" t="s">
        <v>278</v>
      </c>
      <c r="S360" s="160" t="s">
        <v>840</v>
      </c>
      <c r="T360" s="159" t="s">
        <v>261</v>
      </c>
    </row>
    <row r="361" spans="1:20" ht="42" customHeight="1" x14ac:dyDescent="0.5">
      <c r="A361" s="156" t="s">
        <v>646</v>
      </c>
      <c r="B361" s="156"/>
      <c r="C361" s="155" t="s">
        <v>780</v>
      </c>
      <c r="D361" s="156" t="s">
        <v>288</v>
      </c>
      <c r="E361" s="156" t="s">
        <v>277</v>
      </c>
      <c r="F361" s="156" t="s">
        <v>1211</v>
      </c>
      <c r="G361" s="156" t="s">
        <v>826</v>
      </c>
      <c r="H361" s="156" t="s">
        <v>81</v>
      </c>
      <c r="I361" s="156" t="s">
        <v>779</v>
      </c>
      <c r="J361" s="156" t="s">
        <v>1005</v>
      </c>
      <c r="K361" s="157">
        <v>4</v>
      </c>
      <c r="L361" s="156" t="s">
        <v>1217</v>
      </c>
      <c r="M361" s="156" t="s">
        <v>826</v>
      </c>
      <c r="N361" s="156" t="s">
        <v>1218</v>
      </c>
      <c r="O361" s="156" t="s">
        <v>1205</v>
      </c>
      <c r="P361" s="156" t="s">
        <v>1172</v>
      </c>
      <c r="Q361" s="156"/>
      <c r="R361" s="158" t="s">
        <v>295</v>
      </c>
      <c r="S361" s="156"/>
      <c r="T361" s="155" t="s">
        <v>261</v>
      </c>
    </row>
    <row r="362" spans="1:20" ht="52.5" customHeight="1" x14ac:dyDescent="0.5">
      <c r="A362" s="160" t="s">
        <v>646</v>
      </c>
      <c r="B362" s="160"/>
      <c r="C362" s="159" t="s">
        <v>781</v>
      </c>
      <c r="D362" s="160" t="s">
        <v>288</v>
      </c>
      <c r="E362" s="160" t="s">
        <v>277</v>
      </c>
      <c r="F362" s="160" t="s">
        <v>1211</v>
      </c>
      <c r="G362" s="160" t="s">
        <v>826</v>
      </c>
      <c r="H362" s="160" t="s">
        <v>81</v>
      </c>
      <c r="I362" s="160" t="s">
        <v>643</v>
      </c>
      <c r="J362" s="160" t="s">
        <v>1005</v>
      </c>
      <c r="K362" s="161">
        <v>2</v>
      </c>
      <c r="L362" s="160" t="s">
        <v>932</v>
      </c>
      <c r="M362" s="160" t="s">
        <v>826</v>
      </c>
      <c r="N362" s="160" t="s">
        <v>1204</v>
      </c>
      <c r="O362" s="160" t="s">
        <v>1206</v>
      </c>
      <c r="P362" s="160" t="s">
        <v>1141</v>
      </c>
      <c r="Q362" s="160"/>
      <c r="R362" s="162" t="s">
        <v>295</v>
      </c>
      <c r="S362" s="160"/>
      <c r="T362" s="159" t="s">
        <v>261</v>
      </c>
    </row>
    <row r="363" spans="1:20" ht="31.5" customHeight="1" x14ac:dyDescent="0.5">
      <c r="A363" s="156" t="s">
        <v>646</v>
      </c>
      <c r="B363" s="156"/>
      <c r="C363" s="155" t="s">
        <v>783</v>
      </c>
      <c r="D363" s="156" t="s">
        <v>288</v>
      </c>
      <c r="E363" s="156" t="s">
        <v>277</v>
      </c>
      <c r="F363" s="156" t="s">
        <v>1211</v>
      </c>
      <c r="G363" s="156" t="s">
        <v>826</v>
      </c>
      <c r="H363" s="156" t="s">
        <v>81</v>
      </c>
      <c r="I363" s="156" t="s">
        <v>782</v>
      </c>
      <c r="J363" s="156" t="s">
        <v>1005</v>
      </c>
      <c r="K363" s="157">
        <v>2</v>
      </c>
      <c r="L363" s="156" t="s">
        <v>1153</v>
      </c>
      <c r="M363" s="156" t="s">
        <v>826</v>
      </c>
      <c r="N363" s="156" t="s">
        <v>1201</v>
      </c>
      <c r="O363" s="156" t="s">
        <v>1203</v>
      </c>
      <c r="P363" s="156" t="s">
        <v>1123</v>
      </c>
      <c r="Q363" s="156"/>
      <c r="R363" s="158" t="s">
        <v>278</v>
      </c>
      <c r="S363" s="156" t="s">
        <v>840</v>
      </c>
      <c r="T363" s="155" t="s">
        <v>261</v>
      </c>
    </row>
    <row r="364" spans="1:20" ht="31.5" customHeight="1" x14ac:dyDescent="0.5">
      <c r="A364" s="160" t="s">
        <v>646</v>
      </c>
      <c r="B364" s="160"/>
      <c r="C364" s="159" t="s">
        <v>784</v>
      </c>
      <c r="D364" s="160" t="s">
        <v>288</v>
      </c>
      <c r="E364" s="160" t="s">
        <v>277</v>
      </c>
      <c r="F364" s="160" t="s">
        <v>1211</v>
      </c>
      <c r="G364" s="160" t="s">
        <v>826</v>
      </c>
      <c r="H364" s="160" t="s">
        <v>81</v>
      </c>
      <c r="I364" s="160" t="s">
        <v>671</v>
      </c>
      <c r="J364" s="160" t="s">
        <v>1005</v>
      </c>
      <c r="K364" s="161">
        <v>10</v>
      </c>
      <c r="L364" s="160" t="s">
        <v>847</v>
      </c>
      <c r="M364" s="160" t="s">
        <v>826</v>
      </c>
      <c r="N364" s="160" t="s">
        <v>1207</v>
      </c>
      <c r="O364" s="160" t="s">
        <v>1218</v>
      </c>
      <c r="P364" s="160" t="s">
        <v>1006</v>
      </c>
      <c r="Q364" s="160"/>
      <c r="R364" s="162" t="s">
        <v>278</v>
      </c>
      <c r="S364" s="160"/>
      <c r="T364" s="159" t="s">
        <v>261</v>
      </c>
    </row>
    <row r="365" spans="1:20" ht="52.5" customHeight="1" x14ac:dyDescent="0.5">
      <c r="A365" s="156" t="s">
        <v>646</v>
      </c>
      <c r="B365" s="156"/>
      <c r="C365" s="155" t="s">
        <v>785</v>
      </c>
      <c r="D365" s="156" t="s">
        <v>288</v>
      </c>
      <c r="E365" s="156" t="s">
        <v>277</v>
      </c>
      <c r="F365" s="156" t="s">
        <v>1211</v>
      </c>
      <c r="G365" s="156" t="s">
        <v>826</v>
      </c>
      <c r="H365" s="156" t="s">
        <v>81</v>
      </c>
      <c r="I365" s="156" t="s">
        <v>673</v>
      </c>
      <c r="J365" s="156" t="s">
        <v>1005</v>
      </c>
      <c r="K365" s="157">
        <v>5</v>
      </c>
      <c r="L365" s="156" t="s">
        <v>1217</v>
      </c>
      <c r="M365" s="156" t="s">
        <v>826</v>
      </c>
      <c r="N365" s="156" t="s">
        <v>1218</v>
      </c>
      <c r="O365" s="156" t="s">
        <v>1202</v>
      </c>
      <c r="P365" s="156" t="s">
        <v>1123</v>
      </c>
      <c r="Q365" s="156"/>
      <c r="R365" s="158" t="s">
        <v>278</v>
      </c>
      <c r="S365" s="156" t="s">
        <v>840</v>
      </c>
      <c r="T365" s="155" t="s">
        <v>261</v>
      </c>
    </row>
    <row r="366" spans="1:20" ht="63" customHeight="1" x14ac:dyDescent="0.5">
      <c r="A366" s="160" t="s">
        <v>646</v>
      </c>
      <c r="B366" s="160"/>
      <c r="C366" s="159" t="s">
        <v>787</v>
      </c>
      <c r="D366" s="160" t="s">
        <v>288</v>
      </c>
      <c r="E366" s="160" t="s">
        <v>277</v>
      </c>
      <c r="F366" s="160" t="s">
        <v>1211</v>
      </c>
      <c r="G366" s="160" t="s">
        <v>826</v>
      </c>
      <c r="H366" s="160" t="s">
        <v>81</v>
      </c>
      <c r="I366" s="160" t="s">
        <v>786</v>
      </c>
      <c r="J366" s="160" t="s">
        <v>1005</v>
      </c>
      <c r="K366" s="161">
        <v>2</v>
      </c>
      <c r="L366" s="160" t="s">
        <v>919</v>
      </c>
      <c r="M366" s="160" t="s">
        <v>826</v>
      </c>
      <c r="N366" s="160" t="s">
        <v>1206</v>
      </c>
      <c r="O366" s="160" t="s">
        <v>1202</v>
      </c>
      <c r="P366" s="160" t="s">
        <v>1123</v>
      </c>
      <c r="Q366" s="160"/>
      <c r="R366" s="162" t="s">
        <v>278</v>
      </c>
      <c r="S366" s="160" t="s">
        <v>840</v>
      </c>
      <c r="T366" s="159" t="s">
        <v>261</v>
      </c>
    </row>
    <row r="367" spans="1:20" ht="42" customHeight="1" x14ac:dyDescent="0.5">
      <c r="A367" s="156" t="s">
        <v>646</v>
      </c>
      <c r="B367" s="156"/>
      <c r="C367" s="155" t="s">
        <v>789</v>
      </c>
      <c r="D367" s="156" t="s">
        <v>288</v>
      </c>
      <c r="E367" s="156" t="s">
        <v>277</v>
      </c>
      <c r="F367" s="156" t="s">
        <v>1211</v>
      </c>
      <c r="G367" s="156" t="s">
        <v>826</v>
      </c>
      <c r="H367" s="156" t="s">
        <v>81</v>
      </c>
      <c r="I367" s="156" t="s">
        <v>788</v>
      </c>
      <c r="J367" s="156" t="s">
        <v>1005</v>
      </c>
      <c r="K367" s="157">
        <v>2</v>
      </c>
      <c r="L367" s="156" t="s">
        <v>991</v>
      </c>
      <c r="M367" s="156" t="s">
        <v>826</v>
      </c>
      <c r="N367" s="156" t="s">
        <v>1201</v>
      </c>
      <c r="O367" s="156" t="s">
        <v>1219</v>
      </c>
      <c r="P367" s="156" t="s">
        <v>1123</v>
      </c>
      <c r="Q367" s="156"/>
      <c r="R367" s="158" t="s">
        <v>278</v>
      </c>
      <c r="S367" s="156" t="s">
        <v>840</v>
      </c>
      <c r="T367" s="155" t="s">
        <v>261</v>
      </c>
    </row>
    <row r="368" spans="1:20" ht="31.5" customHeight="1" x14ac:dyDescent="0.5">
      <c r="A368" s="160" t="s">
        <v>646</v>
      </c>
      <c r="B368" s="160"/>
      <c r="C368" s="159" t="s">
        <v>791</v>
      </c>
      <c r="D368" s="160" t="s">
        <v>288</v>
      </c>
      <c r="E368" s="160" t="s">
        <v>277</v>
      </c>
      <c r="F368" s="160" t="s">
        <v>1211</v>
      </c>
      <c r="G368" s="160" t="s">
        <v>826</v>
      </c>
      <c r="H368" s="160" t="s">
        <v>81</v>
      </c>
      <c r="I368" s="160" t="s">
        <v>790</v>
      </c>
      <c r="J368" s="160" t="s">
        <v>1005</v>
      </c>
      <c r="K368" s="161">
        <v>2</v>
      </c>
      <c r="L368" s="160" t="s">
        <v>991</v>
      </c>
      <c r="M368" s="160" t="s">
        <v>826</v>
      </c>
      <c r="N368" s="160" t="s">
        <v>1201</v>
      </c>
      <c r="O368" s="160" t="s">
        <v>1219</v>
      </c>
      <c r="P368" s="160" t="s">
        <v>1123</v>
      </c>
      <c r="Q368" s="160"/>
      <c r="R368" s="162" t="s">
        <v>278</v>
      </c>
      <c r="S368" s="160" t="s">
        <v>840</v>
      </c>
      <c r="T368" s="159" t="s">
        <v>261</v>
      </c>
    </row>
    <row r="369" spans="1:20" ht="31.5" customHeight="1" x14ac:dyDescent="0.5">
      <c r="A369" s="156" t="s">
        <v>646</v>
      </c>
      <c r="B369" s="156"/>
      <c r="C369" s="155" t="s">
        <v>792</v>
      </c>
      <c r="D369" s="156" t="s">
        <v>288</v>
      </c>
      <c r="E369" s="156" t="s">
        <v>277</v>
      </c>
      <c r="F369" s="156" t="s">
        <v>1211</v>
      </c>
      <c r="G369" s="156" t="s">
        <v>826</v>
      </c>
      <c r="H369" s="156" t="s">
        <v>81</v>
      </c>
      <c r="I369" s="156" t="s">
        <v>536</v>
      </c>
      <c r="J369" s="156" t="s">
        <v>1005</v>
      </c>
      <c r="K369" s="157">
        <v>6</v>
      </c>
      <c r="L369" s="156" t="s">
        <v>1217</v>
      </c>
      <c r="M369" s="156" t="s">
        <v>826</v>
      </c>
      <c r="N369" s="156" t="s">
        <v>1219</v>
      </c>
      <c r="O369" s="156" t="s">
        <v>1198</v>
      </c>
      <c r="P369" s="156" t="s">
        <v>1123</v>
      </c>
      <c r="Q369" s="156"/>
      <c r="R369" s="158" t="s">
        <v>295</v>
      </c>
      <c r="S369" s="156" t="s">
        <v>840</v>
      </c>
      <c r="T369" s="155" t="s">
        <v>261</v>
      </c>
    </row>
    <row r="370" spans="1:20" ht="42" customHeight="1" x14ac:dyDescent="0.5">
      <c r="A370" s="160" t="s">
        <v>646</v>
      </c>
      <c r="B370" s="160"/>
      <c r="C370" s="159" t="s">
        <v>793</v>
      </c>
      <c r="D370" s="160" t="s">
        <v>288</v>
      </c>
      <c r="E370" s="160" t="s">
        <v>277</v>
      </c>
      <c r="F370" s="160" t="s">
        <v>1211</v>
      </c>
      <c r="G370" s="160" t="s">
        <v>826</v>
      </c>
      <c r="H370" s="160" t="s">
        <v>81</v>
      </c>
      <c r="I370" s="160" t="s">
        <v>538</v>
      </c>
      <c r="J370" s="160" t="s">
        <v>1005</v>
      </c>
      <c r="K370" s="161">
        <v>4</v>
      </c>
      <c r="L370" s="160" t="s">
        <v>932</v>
      </c>
      <c r="M370" s="160" t="s">
        <v>826</v>
      </c>
      <c r="N370" s="160" t="s">
        <v>1203</v>
      </c>
      <c r="O370" s="160" t="s">
        <v>1200</v>
      </c>
      <c r="P370" s="160" t="s">
        <v>1123</v>
      </c>
      <c r="Q370" s="160"/>
      <c r="R370" s="162" t="s">
        <v>295</v>
      </c>
      <c r="S370" s="160" t="s">
        <v>840</v>
      </c>
      <c r="T370" s="159" t="s">
        <v>261</v>
      </c>
    </row>
    <row r="371" spans="1:20" ht="63" customHeight="1" x14ac:dyDescent="0.5">
      <c r="A371" s="156" t="s">
        <v>646</v>
      </c>
      <c r="B371" s="156"/>
      <c r="C371" s="155" t="s">
        <v>794</v>
      </c>
      <c r="D371" s="156" t="s">
        <v>288</v>
      </c>
      <c r="E371" s="156" t="s">
        <v>277</v>
      </c>
      <c r="F371" s="156" t="s">
        <v>1211</v>
      </c>
      <c r="G371" s="156" t="s">
        <v>826</v>
      </c>
      <c r="H371" s="156" t="s">
        <v>81</v>
      </c>
      <c r="I371" s="156" t="s">
        <v>488</v>
      </c>
      <c r="J371" s="156" t="s">
        <v>1005</v>
      </c>
      <c r="K371" s="157">
        <v>2</v>
      </c>
      <c r="L371" s="156" t="s">
        <v>917</v>
      </c>
      <c r="M371" s="156" t="s">
        <v>826</v>
      </c>
      <c r="N371" s="156" t="s">
        <v>1195</v>
      </c>
      <c r="O371" s="156" t="s">
        <v>1183</v>
      </c>
      <c r="P371" s="156" t="s">
        <v>1123</v>
      </c>
      <c r="Q371" s="156"/>
      <c r="R371" s="158" t="s">
        <v>295</v>
      </c>
      <c r="S371" s="156" t="s">
        <v>840</v>
      </c>
      <c r="T371" s="155" t="s">
        <v>261</v>
      </c>
    </row>
    <row r="372" spans="1:20" ht="31.5" customHeight="1" x14ac:dyDescent="0.5">
      <c r="A372" s="160" t="s">
        <v>87</v>
      </c>
      <c r="B372" s="160"/>
      <c r="C372" s="159" t="s">
        <v>795</v>
      </c>
      <c r="D372" s="160" t="s">
        <v>282</v>
      </c>
      <c r="E372" s="160" t="s">
        <v>277</v>
      </c>
      <c r="F372" s="160" t="s">
        <v>1211</v>
      </c>
      <c r="G372" s="160" t="s">
        <v>831</v>
      </c>
      <c r="H372" s="160" t="s">
        <v>81</v>
      </c>
      <c r="I372" s="160" t="s">
        <v>317</v>
      </c>
      <c r="J372" s="160" t="s">
        <v>810</v>
      </c>
      <c r="K372" s="161">
        <v>2</v>
      </c>
      <c r="L372" s="160" t="s">
        <v>833</v>
      </c>
      <c r="M372" s="160" t="s">
        <v>834</v>
      </c>
      <c r="N372" s="160" t="s">
        <v>888</v>
      </c>
      <c r="O372" s="160" t="s">
        <v>1202</v>
      </c>
      <c r="P372" s="160" t="s">
        <v>888</v>
      </c>
      <c r="Q372" s="160"/>
      <c r="R372" s="162"/>
      <c r="S372" s="160"/>
      <c r="T372" s="159" t="s">
        <v>261</v>
      </c>
    </row>
    <row r="373" spans="1:20" ht="31.5" customHeight="1" x14ac:dyDescent="0.5">
      <c r="A373" s="156" t="s">
        <v>646</v>
      </c>
      <c r="B373" s="156"/>
      <c r="C373" s="155" t="s">
        <v>796</v>
      </c>
      <c r="D373" s="156" t="s">
        <v>288</v>
      </c>
      <c r="E373" s="156" t="s">
        <v>277</v>
      </c>
      <c r="F373" s="156" t="s">
        <v>1220</v>
      </c>
      <c r="G373" s="156" t="s">
        <v>826</v>
      </c>
      <c r="H373" s="156" t="s">
        <v>81</v>
      </c>
      <c r="I373" s="156" t="s">
        <v>26</v>
      </c>
      <c r="J373" s="156" t="s">
        <v>110</v>
      </c>
      <c r="K373" s="157">
        <v>16</v>
      </c>
      <c r="L373" s="156" t="s">
        <v>917</v>
      </c>
      <c r="M373" s="156" t="s">
        <v>826</v>
      </c>
      <c r="N373" s="156" t="s">
        <v>1211</v>
      </c>
      <c r="O373" s="156" t="s">
        <v>1213</v>
      </c>
      <c r="P373" s="156" t="s">
        <v>1221</v>
      </c>
      <c r="Q373" s="156"/>
      <c r="R373" s="158"/>
      <c r="S373" s="156"/>
      <c r="T373" s="155" t="s">
        <v>261</v>
      </c>
    </row>
    <row r="374" spans="1:20" ht="42" customHeight="1" x14ac:dyDescent="0.5">
      <c r="A374" s="160" t="s">
        <v>752</v>
      </c>
      <c r="B374" s="160"/>
      <c r="C374" s="159" t="s">
        <v>798</v>
      </c>
      <c r="D374" s="160" t="s">
        <v>288</v>
      </c>
      <c r="E374" s="160" t="s">
        <v>277</v>
      </c>
      <c r="F374" s="160" t="s">
        <v>1222</v>
      </c>
      <c r="G374" s="160" t="s">
        <v>925</v>
      </c>
      <c r="H374" s="160" t="s">
        <v>81</v>
      </c>
      <c r="I374" s="160" t="s">
        <v>244</v>
      </c>
      <c r="J374" s="160" t="s">
        <v>1005</v>
      </c>
      <c r="K374" s="161">
        <v>100</v>
      </c>
      <c r="L374" s="160" t="s">
        <v>916</v>
      </c>
      <c r="M374" s="160" t="s">
        <v>826</v>
      </c>
      <c r="N374" s="160" t="s">
        <v>1205</v>
      </c>
      <c r="O374" s="160" t="s">
        <v>1206</v>
      </c>
      <c r="P374" s="160" t="s">
        <v>999</v>
      </c>
      <c r="Q374" s="160"/>
      <c r="R374" s="162" t="s">
        <v>278</v>
      </c>
      <c r="S374" s="160"/>
      <c r="T374" s="159" t="s">
        <v>261</v>
      </c>
    </row>
    <row r="375" spans="1:20" ht="31.5" customHeight="1" x14ac:dyDescent="0.5">
      <c r="A375" s="156" t="s">
        <v>752</v>
      </c>
      <c r="B375" s="156"/>
      <c r="C375" s="155" t="s">
        <v>799</v>
      </c>
      <c r="D375" s="156" t="s">
        <v>282</v>
      </c>
      <c r="E375" s="156" t="s">
        <v>277</v>
      </c>
      <c r="F375" s="156" t="s">
        <v>1223</v>
      </c>
      <c r="G375" s="156" t="s">
        <v>831</v>
      </c>
      <c r="H375" s="156" t="s">
        <v>81</v>
      </c>
      <c r="I375" s="156" t="s">
        <v>317</v>
      </c>
      <c r="J375" s="156" t="s">
        <v>810</v>
      </c>
      <c r="K375" s="157">
        <v>7</v>
      </c>
      <c r="L375" s="156" t="s">
        <v>904</v>
      </c>
      <c r="M375" s="156" t="s">
        <v>834</v>
      </c>
      <c r="N375" s="156" t="s">
        <v>888</v>
      </c>
      <c r="O375" s="156" t="s">
        <v>1218</v>
      </c>
      <c r="P375" s="156" t="s">
        <v>888</v>
      </c>
      <c r="Q375" s="156"/>
      <c r="R375" s="158"/>
      <c r="S375" s="156"/>
      <c r="T375" s="155" t="s">
        <v>261</v>
      </c>
    </row>
    <row r="376" spans="1:20" ht="31.5" customHeight="1" x14ac:dyDescent="0.5">
      <c r="A376" s="160" t="s">
        <v>757</v>
      </c>
      <c r="B376" s="160"/>
      <c r="C376" s="159" t="s">
        <v>800</v>
      </c>
      <c r="D376" s="160" t="s">
        <v>282</v>
      </c>
      <c r="E376" s="160" t="s">
        <v>277</v>
      </c>
      <c r="F376" s="160" t="s">
        <v>1224</v>
      </c>
      <c r="G376" s="160" t="s">
        <v>831</v>
      </c>
      <c r="H376" s="160" t="s">
        <v>81</v>
      </c>
      <c r="I376" s="160" t="s">
        <v>303</v>
      </c>
      <c r="J376" s="160" t="s">
        <v>859</v>
      </c>
      <c r="K376" s="161">
        <v>6</v>
      </c>
      <c r="L376" s="160" t="s">
        <v>1127</v>
      </c>
      <c r="M376" s="160" t="s">
        <v>812</v>
      </c>
      <c r="N376" s="160" t="s">
        <v>884</v>
      </c>
      <c r="O376" s="160" t="s">
        <v>1135</v>
      </c>
      <c r="P376" s="160" t="s">
        <v>1135</v>
      </c>
      <c r="Q376" s="160"/>
      <c r="R376" s="162"/>
      <c r="S376" s="160"/>
      <c r="T376" s="159" t="s">
        <v>261</v>
      </c>
    </row>
    <row r="377" spans="1:20" ht="31.5" customHeight="1" x14ac:dyDescent="0.5">
      <c r="A377" s="156" t="s">
        <v>87</v>
      </c>
      <c r="B377" s="156"/>
      <c r="C377" s="155" t="s">
        <v>1225</v>
      </c>
      <c r="D377" s="156" t="s">
        <v>282</v>
      </c>
      <c r="E377" s="156" t="s">
        <v>820</v>
      </c>
      <c r="F377" s="156" t="s">
        <v>1226</v>
      </c>
      <c r="G377" s="156" t="s">
        <v>831</v>
      </c>
      <c r="H377" s="156" t="s">
        <v>81</v>
      </c>
      <c r="I377" s="156" t="s">
        <v>317</v>
      </c>
      <c r="J377" s="156" t="s">
        <v>810</v>
      </c>
      <c r="K377" s="157">
        <v>2</v>
      </c>
      <c r="L377" s="156"/>
      <c r="M377" s="156"/>
      <c r="N377" s="156"/>
      <c r="O377" s="156"/>
      <c r="P377" s="156"/>
      <c r="Q377" s="156"/>
      <c r="R377" s="158"/>
      <c r="S377" s="156"/>
      <c r="T377" s="155" t="s">
        <v>261</v>
      </c>
    </row>
    <row r="378" spans="1:20" ht="31.5" customHeight="1" x14ac:dyDescent="0.5">
      <c r="A378" s="160" t="s">
        <v>757</v>
      </c>
      <c r="B378" s="160"/>
      <c r="C378" s="159" t="s">
        <v>801</v>
      </c>
      <c r="D378" s="160" t="s">
        <v>282</v>
      </c>
      <c r="E378" s="160" t="s">
        <v>277</v>
      </c>
      <c r="F378" s="160" t="s">
        <v>1227</v>
      </c>
      <c r="G378" s="160" t="s">
        <v>831</v>
      </c>
      <c r="H378" s="160" t="s">
        <v>81</v>
      </c>
      <c r="I378" s="160" t="s">
        <v>742</v>
      </c>
      <c r="J378" s="160" t="s">
        <v>810</v>
      </c>
      <c r="K378" s="161">
        <v>2</v>
      </c>
      <c r="L378" s="160" t="s">
        <v>897</v>
      </c>
      <c r="M378" s="160" t="s">
        <v>834</v>
      </c>
      <c r="N378" s="160" t="s">
        <v>888</v>
      </c>
      <c r="O378" s="160" t="s">
        <v>1228</v>
      </c>
      <c r="P378" s="160" t="s">
        <v>888</v>
      </c>
      <c r="Q378" s="160"/>
      <c r="R378" s="162"/>
      <c r="S378" s="160"/>
      <c r="T378" s="159" t="s">
        <v>261</v>
      </c>
    </row>
    <row r="379" spans="1:20" ht="31.5" customHeight="1" x14ac:dyDescent="0.5">
      <c r="A379" s="156" t="s">
        <v>757</v>
      </c>
      <c r="B379" s="156"/>
      <c r="C379" s="155" t="s">
        <v>802</v>
      </c>
      <c r="D379" s="156" t="s">
        <v>282</v>
      </c>
      <c r="E379" s="156" t="s">
        <v>277</v>
      </c>
      <c r="F379" s="156" t="s">
        <v>1227</v>
      </c>
      <c r="G379" s="156" t="s">
        <v>831</v>
      </c>
      <c r="H379" s="156" t="s">
        <v>81</v>
      </c>
      <c r="I379" s="156" t="s">
        <v>303</v>
      </c>
      <c r="J379" s="156" t="s">
        <v>859</v>
      </c>
      <c r="K379" s="157">
        <v>9</v>
      </c>
      <c r="L379" s="156" t="s">
        <v>1127</v>
      </c>
      <c r="M379" s="156" t="s">
        <v>812</v>
      </c>
      <c r="N379" s="156" t="s">
        <v>884</v>
      </c>
      <c r="O379" s="156" t="s">
        <v>1135</v>
      </c>
      <c r="P379" s="156" t="s">
        <v>1135</v>
      </c>
      <c r="Q379" s="156"/>
      <c r="R379" s="158"/>
      <c r="S379" s="156"/>
      <c r="T379" s="155" t="s">
        <v>261</v>
      </c>
    </row>
    <row r="380" spans="1:20" ht="63" customHeight="1" x14ac:dyDescent="0.5">
      <c r="A380" s="160" t="s">
        <v>757</v>
      </c>
      <c r="B380" s="160"/>
      <c r="C380" s="159" t="s">
        <v>804</v>
      </c>
      <c r="D380" s="160" t="s">
        <v>288</v>
      </c>
      <c r="E380" s="160" t="s">
        <v>277</v>
      </c>
      <c r="F380" s="160" t="s">
        <v>1229</v>
      </c>
      <c r="G380" s="160" t="s">
        <v>826</v>
      </c>
      <c r="H380" s="160" t="s">
        <v>81</v>
      </c>
      <c r="I380" s="160" t="s">
        <v>803</v>
      </c>
      <c r="J380" s="160" t="s">
        <v>110</v>
      </c>
      <c r="K380" s="161">
        <v>4</v>
      </c>
      <c r="L380" s="160" t="s">
        <v>1000</v>
      </c>
      <c r="M380" s="160" t="s">
        <v>826</v>
      </c>
      <c r="N380" s="160" t="s">
        <v>1226</v>
      </c>
      <c r="O380" s="160" t="s">
        <v>1230</v>
      </c>
      <c r="P380" s="160" t="s">
        <v>1004</v>
      </c>
      <c r="Q380" s="160"/>
      <c r="R380" s="162" t="s">
        <v>278</v>
      </c>
      <c r="S380" s="160"/>
      <c r="T380" s="159" t="s">
        <v>261</v>
      </c>
    </row>
    <row r="381" spans="1:20" ht="63" customHeight="1" x14ac:dyDescent="0.5">
      <c r="A381" s="156" t="s">
        <v>757</v>
      </c>
      <c r="B381" s="156"/>
      <c r="C381" s="155" t="s">
        <v>805</v>
      </c>
      <c r="D381" s="156" t="s">
        <v>288</v>
      </c>
      <c r="E381" s="156" t="s">
        <v>277</v>
      </c>
      <c r="F381" s="156" t="s">
        <v>1229</v>
      </c>
      <c r="G381" s="156" t="s">
        <v>826</v>
      </c>
      <c r="H381" s="156" t="s">
        <v>81</v>
      </c>
      <c r="I381" s="156" t="s">
        <v>492</v>
      </c>
      <c r="J381" s="156" t="s">
        <v>110</v>
      </c>
      <c r="K381" s="157">
        <v>2</v>
      </c>
      <c r="L381" s="156" t="s">
        <v>1000</v>
      </c>
      <c r="M381" s="156" t="s">
        <v>826</v>
      </c>
      <c r="N381" s="156" t="s">
        <v>1230</v>
      </c>
      <c r="O381" s="156" t="s">
        <v>1230</v>
      </c>
      <c r="P381" s="156" t="s">
        <v>1216</v>
      </c>
      <c r="Q381" s="156"/>
      <c r="R381" s="158" t="s">
        <v>295</v>
      </c>
      <c r="S381" s="156"/>
      <c r="T381" s="155" t="s">
        <v>261</v>
      </c>
    </row>
    <row r="382" spans="1:20" ht="31.5" customHeight="1" x14ac:dyDescent="0.5">
      <c r="A382" s="160" t="s">
        <v>757</v>
      </c>
      <c r="B382" s="160"/>
      <c r="C382" s="159" t="s">
        <v>807</v>
      </c>
      <c r="D382" s="160" t="s">
        <v>288</v>
      </c>
      <c r="E382" s="160" t="s">
        <v>277</v>
      </c>
      <c r="F382" s="160" t="s">
        <v>1231</v>
      </c>
      <c r="G382" s="160" t="s">
        <v>826</v>
      </c>
      <c r="H382" s="160" t="s">
        <v>81</v>
      </c>
      <c r="I382" s="160" t="s">
        <v>297</v>
      </c>
      <c r="J382" s="160" t="s">
        <v>1005</v>
      </c>
      <c r="K382" s="161">
        <v>8</v>
      </c>
      <c r="L382" s="160" t="s">
        <v>1217</v>
      </c>
      <c r="M382" s="160" t="s">
        <v>826</v>
      </c>
      <c r="N382" s="160" t="s">
        <v>1232</v>
      </c>
      <c r="O382" s="160" t="s">
        <v>1233</v>
      </c>
      <c r="P382" s="160" t="s">
        <v>1205</v>
      </c>
      <c r="Q382" s="160"/>
      <c r="R382" s="162"/>
      <c r="S382" s="160"/>
      <c r="T382" s="159" t="s">
        <v>261</v>
      </c>
    </row>
  </sheetData>
  <phoneticPr fontId="32" type="noConversion"/>
  <hyperlinks>
    <hyperlink ref="C1" r:id="rId1" display="http://reliability.mot.com/ALTV4/Reports/ALTTestReport_Functional.aspx?Test_Seqno=RF138393" xr:uid="{00000000-0004-0000-0300-000000000000}"/>
    <hyperlink ref="T1" r:id="rId2" display="http://100.65.83.171/ReportServer/Pages/ReportViewer.aspx?%2fgALT_V3_Reports%2fAll+Failure+Info+Export&amp;rs:Command=Render&amp;rc:Parameters=False&amp;Test_Seqno=RF138393" xr:uid="{00000000-0004-0000-0300-000001000000}"/>
    <hyperlink ref="C2" r:id="rId3" display="http://reliability.mot.com/ALTV4/Reports/ALTTestReport_Functional.aspx?Test_Seqno=WH138179" xr:uid="{00000000-0004-0000-0300-000002000000}"/>
    <hyperlink ref="T2" r:id="rId4" display="http://100.65.83.171/ReportServer/Pages/ReportViewer.aspx?%2fgALT_V3_Reports%2fAll+Failure+Info+Export&amp;rs:Command=Render&amp;rc:Parameters=False&amp;Test_Seqno=WH138179" xr:uid="{00000000-0004-0000-0300-000003000000}"/>
    <hyperlink ref="C3" r:id="rId5" display="http://reliability.mot.com/ALTV4/Reports/ALTTestReport_Functional.aspx?Test_Seqno=WH137413" xr:uid="{00000000-0004-0000-0300-000004000000}"/>
    <hyperlink ref="T3" r:id="rId6" display="http://100.65.83.171/ReportServer/Pages/ReportViewer.aspx?%2fgALT_V3_Reports%2fAll+Failure+Info+Export&amp;rs:Command=Render&amp;rc:Parameters=False&amp;Test_Seqno=WH137413" xr:uid="{00000000-0004-0000-0300-000005000000}"/>
    <hyperlink ref="C4" r:id="rId7" display="http://reliability.mot.com/ALTV4/Reports/ALTTestReport_Functional.aspx?Test_Seqno=WH137128" xr:uid="{00000000-0004-0000-0300-000006000000}"/>
    <hyperlink ref="T4" r:id="rId8" display="http://100.65.83.171/ReportServer/Pages/ReportViewer.aspx?%2fgALT_V3_Reports%2fAll+Failure+Info+Export&amp;rs:Command=Render&amp;rc:Parameters=False&amp;Test_Seqno=WH137128" xr:uid="{00000000-0004-0000-0300-000007000000}"/>
    <hyperlink ref="C5" r:id="rId9" display="http://reliability.mot.com/ALTV4/Reports/ALTTestReport_Functional.aspx?Test_Seqno=RF137122" xr:uid="{00000000-0004-0000-0300-000008000000}"/>
    <hyperlink ref="T5" r:id="rId10" display="http://100.65.83.171/ReportServer/Pages/ReportViewer.aspx?%2fgALT_V3_Reports%2fAll+Failure+Info+Export&amp;rs:Command=Render&amp;rc:Parameters=False&amp;Test_Seqno=RF137122" xr:uid="{00000000-0004-0000-0300-000009000000}"/>
    <hyperlink ref="C6" r:id="rId11" display="http://reliability.mot.com/ALTV4/Reports/ALTTestReport_Functional.aspx?Test_Seqno=RF137121" xr:uid="{00000000-0004-0000-0300-00000A000000}"/>
    <hyperlink ref="T6" r:id="rId12" display="http://100.65.83.171/ReportServer/Pages/ReportViewer.aspx?%2fgALT_V3_Reports%2fAll+Failure+Info+Export&amp;rs:Command=Render&amp;rc:Parameters=False&amp;Test_Seqno=RF137121" xr:uid="{00000000-0004-0000-0300-00000B000000}"/>
    <hyperlink ref="C7" r:id="rId13" display="http://reliability.mot.com/ALTV4/Reports/ALTTestReport_Functional.aspx?Test_Seqno=WH136982" xr:uid="{00000000-0004-0000-0300-00000C000000}"/>
    <hyperlink ref="T7" r:id="rId14" display="http://100.65.83.171/ReportServer/Pages/ReportViewer.aspx?%2fgALT_V3_Reports%2fAll+Failure+Info+Export&amp;rs:Command=Render&amp;rc:Parameters=False&amp;Test_Seqno=WH136982" xr:uid="{00000000-0004-0000-0300-00000D000000}"/>
    <hyperlink ref="C8" r:id="rId15" display="http://reliability.mot.com/ALTV4/Reports/ALTTestReport_Functional.aspx?Test_Seqno=WH136782" xr:uid="{00000000-0004-0000-0300-00000E000000}"/>
    <hyperlink ref="T8" r:id="rId16" display="http://100.65.83.171/ReportServer/Pages/ReportViewer.aspx?%2fgALT_V3_Reports%2fAll+Failure+Info+Export&amp;rs:Command=Render&amp;rc:Parameters=False&amp;Test_Seqno=WH136782" xr:uid="{00000000-0004-0000-0300-00000F000000}"/>
    <hyperlink ref="C9" r:id="rId17" display="http://reliability.mot.com/ALTV4/Reports/ALTTestReport_Functional.aspx?Test_Seqno=WH136352" xr:uid="{00000000-0004-0000-0300-000010000000}"/>
    <hyperlink ref="T9" r:id="rId18" display="http://100.65.83.171/ReportServer/Pages/ReportViewer.aspx?%2fgALT_V3_Reports%2fAll+Failure+Info+Export&amp;rs:Command=Render&amp;rc:Parameters=False&amp;Test_Seqno=WH136352" xr:uid="{00000000-0004-0000-0300-000011000000}"/>
    <hyperlink ref="C10" r:id="rId19" display="http://reliability.mot.com/ALTV4/Reports/ALTTestReport_Functional.aspx?Test_Seqno=WH136120" xr:uid="{00000000-0004-0000-0300-000012000000}"/>
    <hyperlink ref="T10" r:id="rId20" display="http://100.65.83.171/ReportServer/Pages/ReportViewer.aspx?%2fgALT_V3_Reports%2fAll+Failure+Info+Export&amp;rs:Command=Render&amp;rc:Parameters=False&amp;Test_Seqno=WH136120" xr:uid="{00000000-0004-0000-0300-000013000000}"/>
    <hyperlink ref="C11" r:id="rId21" display="http://reliability.mot.com/ALTV4/Reports/ALTTestReport_Functional.aspx?Test_Seqno=WH136117" xr:uid="{00000000-0004-0000-0300-000014000000}"/>
    <hyperlink ref="T11" r:id="rId22" display="http://100.65.83.171/ReportServer/Pages/ReportViewer.aspx?%2fgALT_V3_Reports%2fAll+Failure+Info+Export&amp;rs:Command=Render&amp;rc:Parameters=False&amp;Test_Seqno=WH136117" xr:uid="{00000000-0004-0000-0300-000015000000}"/>
    <hyperlink ref="C12" r:id="rId23" display="http://reliability.mot.com/ALTV4/Reports/ALTTestReport_Functional.aspx?Test_Seqno=WH136083" xr:uid="{00000000-0004-0000-0300-000016000000}"/>
    <hyperlink ref="T12" r:id="rId24" display="http://100.65.83.171/ReportServer/Pages/ReportViewer.aspx?%2fgALT_V3_Reports%2fAll+Failure+Info+Export&amp;rs:Command=Render&amp;rc:Parameters=False&amp;Test_Seqno=WH136083" xr:uid="{00000000-0004-0000-0300-000017000000}"/>
    <hyperlink ref="C13" r:id="rId25" display="http://reliability.mot.com/ALTV4/Reports/ALTTestReport_Functional.aspx?Test_Seqno=RF136006" xr:uid="{00000000-0004-0000-0300-000018000000}"/>
    <hyperlink ref="T13" r:id="rId26" display="http://100.65.83.171/ReportServer/Pages/ReportViewer.aspx?%2fgALT_V3_Reports%2fAll+Failure+Info+Export&amp;rs:Command=Render&amp;rc:Parameters=False&amp;Test_Seqno=RF136006" xr:uid="{00000000-0004-0000-0300-000019000000}"/>
    <hyperlink ref="C14" r:id="rId27" display="http://reliability.mot.com/ALTV4/Reports/ALTTestReport_Functional.aspx?Test_Seqno=RF135997" xr:uid="{00000000-0004-0000-0300-00001A000000}"/>
    <hyperlink ref="T14" r:id="rId28" display="http://100.65.83.171/ReportServer/Pages/ReportViewer.aspx?%2fgALT_V3_Reports%2fAll+Failure+Info+Export&amp;rs:Command=Render&amp;rc:Parameters=False&amp;Test_Seqno=RF135997" xr:uid="{00000000-0004-0000-0300-00001B000000}"/>
    <hyperlink ref="C15" r:id="rId29" display="http://reliability.mot.com/ALTV4/Reports/ALTTestReport_Functional.aspx?Test_Seqno=RF135990" xr:uid="{00000000-0004-0000-0300-00001C000000}"/>
    <hyperlink ref="T15" r:id="rId30" display="http://100.65.83.171/ReportServer/Pages/ReportViewer.aspx?%2fgALT_V3_Reports%2fAll+Failure+Info+Export&amp;rs:Command=Render&amp;rc:Parameters=False&amp;Test_Seqno=RF135990" xr:uid="{00000000-0004-0000-0300-00001D000000}"/>
    <hyperlink ref="C16" r:id="rId31" display="http://reliability.mot.com/ALTV4/Reports/ALTTestReport_Functional.aspx?Test_Seqno=RF135973" xr:uid="{00000000-0004-0000-0300-00001E000000}"/>
    <hyperlink ref="T16" r:id="rId32" display="http://100.65.83.171/ReportServer/Pages/ReportViewer.aspx?%2fgALT_V3_Reports%2fAll+Failure+Info+Export&amp;rs:Command=Render&amp;rc:Parameters=False&amp;Test_Seqno=RF135973" xr:uid="{00000000-0004-0000-0300-00001F000000}"/>
    <hyperlink ref="C17" r:id="rId33" display="http://reliability.mot.com/ALTV4/Reports/ALTTestReport_Functional.aspx?Test_Seqno=WH135403" xr:uid="{00000000-0004-0000-0300-000020000000}"/>
    <hyperlink ref="T17" r:id="rId34" display="http://100.65.83.171/ReportServer/Pages/ReportViewer.aspx?%2fgALT_V3_Reports%2fAll+Failure+Info+Export&amp;rs:Command=Render&amp;rc:Parameters=False&amp;Test_Seqno=WH135403" xr:uid="{00000000-0004-0000-0300-000021000000}"/>
    <hyperlink ref="C18" r:id="rId35" display="http://reliability.mot.com/ALTV4/Reports/ALTTestReport_Functional.aspx?Test_Seqno=RF135274" xr:uid="{00000000-0004-0000-0300-000022000000}"/>
    <hyperlink ref="T18" r:id="rId36" display="http://100.65.83.171/ReportServer/Pages/ReportViewer.aspx?%2fgALT_V3_Reports%2fAll+Failure+Info+Export&amp;rs:Command=Render&amp;rc:Parameters=False&amp;Test_Seqno=RF135274" xr:uid="{00000000-0004-0000-0300-000023000000}"/>
    <hyperlink ref="C19" r:id="rId37" display="http://reliability.mot.com/ALTV4/Reports/ALTTestReport_Functional.aspx?Test_Seqno=WH133765" xr:uid="{00000000-0004-0000-0300-000024000000}"/>
    <hyperlink ref="T19" r:id="rId38" display="http://100.65.83.171/ReportServer/Pages/ReportViewer.aspx?%2fgALT_V3_Reports%2fAll+Failure+Info+Export&amp;rs:Command=Render&amp;rc:Parameters=False&amp;Test_Seqno=WH133765" xr:uid="{00000000-0004-0000-0300-000025000000}"/>
    <hyperlink ref="C20" r:id="rId39" display="http://reliability.mot.com/ALTV4/Reports/ALTTestReport_Functional.aspx?Test_Seqno=RF133661" xr:uid="{00000000-0004-0000-0300-000026000000}"/>
    <hyperlink ref="T20" r:id="rId40" display="http://100.65.83.171/ReportServer/Pages/ReportViewer.aspx?%2fgALT_V3_Reports%2fAll+Failure+Info+Export&amp;rs:Command=Render&amp;rc:Parameters=False&amp;Test_Seqno=RF133661" xr:uid="{00000000-0004-0000-0300-000027000000}"/>
    <hyperlink ref="C21" r:id="rId41" display="http://reliability.mot.com/ALTV4/Reports/ALTTestReport_Functional.aspx?Test_Seqno=RF133658" xr:uid="{00000000-0004-0000-0300-000028000000}"/>
    <hyperlink ref="T21" r:id="rId42" display="http://100.65.83.171/ReportServer/Pages/ReportViewer.aspx?%2fgALT_V3_Reports%2fAll+Failure+Info+Export&amp;rs:Command=Render&amp;rc:Parameters=False&amp;Test_Seqno=RF133658" xr:uid="{00000000-0004-0000-0300-000029000000}"/>
    <hyperlink ref="C22" r:id="rId43" display="http://reliability.mot.com/ALTV4/Reports/ALTTestReport_Functional.aspx?Test_Seqno=WH133602" xr:uid="{00000000-0004-0000-0300-00002A000000}"/>
    <hyperlink ref="T22" r:id="rId44" display="http://100.65.83.171/ReportServer/Pages/ReportViewer.aspx?%2fgALT_V3_Reports%2fAll+Failure+Info+Export&amp;rs:Command=Render&amp;rc:Parameters=False&amp;Test_Seqno=WH133602" xr:uid="{00000000-0004-0000-0300-00002B000000}"/>
    <hyperlink ref="C23" r:id="rId45" display="http://reliability.mot.com/ALTV4/Reports/ALTTestReport_Functional.aspx?Test_Seqno=WH133600" xr:uid="{00000000-0004-0000-0300-00002C000000}"/>
    <hyperlink ref="T23" r:id="rId46" display="http://100.65.83.171/ReportServer/Pages/ReportViewer.aspx?%2fgALT_V3_Reports%2fAll+Failure+Info+Export&amp;rs:Command=Render&amp;rc:Parameters=False&amp;Test_Seqno=WH133600" xr:uid="{00000000-0004-0000-0300-00002D000000}"/>
    <hyperlink ref="C24" r:id="rId47" display="http://reliability.mot.com/ALTV4/Reports/ALTTestReport_Functional.aspx?Test_Seqno=RF133254" xr:uid="{00000000-0004-0000-0300-00002E000000}"/>
    <hyperlink ref="T24" r:id="rId48" display="http://100.65.83.171/ReportServer/Pages/ReportViewer.aspx?%2fgALT_V3_Reports%2fAll+Failure+Info+Export&amp;rs:Command=Render&amp;rc:Parameters=False&amp;Test_Seqno=RF133254" xr:uid="{00000000-0004-0000-0300-00002F000000}"/>
    <hyperlink ref="C25" r:id="rId49" display="http://reliability.mot.com/ALTV4/Reports/ALTTestReport_Functional.aspx?Test_Seqno=RF133054" xr:uid="{00000000-0004-0000-0300-000030000000}"/>
    <hyperlink ref="T25" r:id="rId50" display="http://100.65.83.171/ReportServer/Pages/ReportViewer.aspx?%2fgALT_V3_Reports%2fAll+Failure+Info+Export&amp;rs:Command=Render&amp;rc:Parameters=False&amp;Test_Seqno=RF133054" xr:uid="{00000000-0004-0000-0300-000031000000}"/>
    <hyperlink ref="C26" r:id="rId51" display="http://reliability.mot.com/ALTV4/Reports/ALTTestReport_Functional.aspx?Test_Seqno=WH133030" xr:uid="{00000000-0004-0000-0300-000032000000}"/>
    <hyperlink ref="T26" r:id="rId52" display="http://100.65.83.171/ReportServer/Pages/ReportViewer.aspx?%2fgALT_V3_Reports%2fAll+Failure+Info+Export&amp;rs:Command=Render&amp;rc:Parameters=False&amp;Test_Seqno=WH133030" xr:uid="{00000000-0004-0000-0300-000033000000}"/>
    <hyperlink ref="C27" r:id="rId53" display="http://reliability.mot.com/ALTV4/Reports/ALTTestReport_Functional.aspx?Test_Seqno=WH132904" xr:uid="{00000000-0004-0000-0300-000034000000}"/>
    <hyperlink ref="T27" r:id="rId54" display="http://100.65.83.171/ReportServer/Pages/ReportViewer.aspx?%2fgALT_V3_Reports%2fAll+Failure+Info+Export&amp;rs:Command=Render&amp;rc:Parameters=False&amp;Test_Seqno=WH132904" xr:uid="{00000000-0004-0000-0300-000035000000}"/>
    <hyperlink ref="C28" r:id="rId55" display="http://reliability.mot.com/ALTV4/Reports/ALTTestReport_Functional.aspx?Test_Seqno=WH132822" xr:uid="{00000000-0004-0000-0300-000036000000}"/>
    <hyperlink ref="T28" r:id="rId56" display="http://100.65.83.171/ReportServer/Pages/ReportViewer.aspx?%2fgALT_V3_Reports%2fAll+Failure+Info+Export&amp;rs:Command=Render&amp;rc:Parameters=False&amp;Test_Seqno=WH132822" xr:uid="{00000000-0004-0000-0300-000037000000}"/>
    <hyperlink ref="C29" r:id="rId57" display="http://reliability.mot.com/ALTV4/Reports/ALTTestReport_Functional.aspx?Test_Seqno=RF132504" xr:uid="{00000000-0004-0000-0300-000038000000}"/>
    <hyperlink ref="T29" r:id="rId58" display="http://100.65.83.171/ReportServer/Pages/ReportViewer.aspx?%2fgALT_V3_Reports%2fAll+Failure+Info+Export&amp;rs:Command=Render&amp;rc:Parameters=False&amp;Test_Seqno=RF132504" xr:uid="{00000000-0004-0000-0300-000039000000}"/>
    <hyperlink ref="C30" r:id="rId59" display="http://reliability.mot.com/ALTV4/Reports/ALTTestReport_Functional.aspx?Test_Seqno=RF132398" xr:uid="{00000000-0004-0000-0300-00003A000000}"/>
    <hyperlink ref="T30" r:id="rId60" display="http://100.65.83.171/ReportServer/Pages/ReportViewer.aspx?%2fgALT_V3_Reports%2fAll+Failure+Info+Export&amp;rs:Command=Render&amp;rc:Parameters=False&amp;Test_Seqno=RF132398" xr:uid="{00000000-0004-0000-0300-00003B000000}"/>
    <hyperlink ref="C31" r:id="rId61" display="http://reliability.mot.com/ALTV4/Reports/ALTTestReport_Functional.aspx?Test_Seqno=WH132233" xr:uid="{00000000-0004-0000-0300-00003C000000}"/>
    <hyperlink ref="T31" r:id="rId62" display="http://100.65.83.171/ReportServer/Pages/ReportViewer.aspx?%2fgALT_V3_Reports%2fAll+Failure+Info+Export&amp;rs:Command=Render&amp;rc:Parameters=False&amp;Test_Seqno=WH132233" xr:uid="{00000000-0004-0000-0300-00003D000000}"/>
    <hyperlink ref="C32" r:id="rId63" display="http://reliability.mot.com/ALTV4/Reports/ALTTestReport_Functional.aspx?Test_Seqno=RF132231" xr:uid="{00000000-0004-0000-0300-00003E000000}"/>
    <hyperlink ref="T32" r:id="rId64" display="http://100.65.83.171/ReportServer/Pages/ReportViewer.aspx?%2fgALT_V3_Reports%2fAll+Failure+Info+Export&amp;rs:Command=Render&amp;rc:Parameters=False&amp;Test_Seqno=RF132231" xr:uid="{00000000-0004-0000-0300-00003F000000}"/>
    <hyperlink ref="C33" r:id="rId65" display="http://reliability.mot.com/ALTV4/Reports/ALTTestReport_Functional.aspx?Test_Seqno=WH132077" xr:uid="{00000000-0004-0000-0300-000040000000}"/>
    <hyperlink ref="T33" r:id="rId66" display="http://100.65.83.171/ReportServer/Pages/ReportViewer.aspx?%2fgALT_V3_Reports%2fAll+Failure+Info+Export&amp;rs:Command=Render&amp;rc:Parameters=False&amp;Test_Seqno=WH132077" xr:uid="{00000000-0004-0000-0300-000041000000}"/>
    <hyperlink ref="C34" r:id="rId67" display="http://reliability.mot.com/ALTV4/Reports/ALTTestReport_Functional.aspx?Test_Seqno=WH132008" xr:uid="{00000000-0004-0000-0300-000042000000}"/>
    <hyperlink ref="T34" r:id="rId68" display="http://100.65.83.171/ReportServer/Pages/ReportViewer.aspx?%2fgALT_V3_Reports%2fAll+Failure+Info+Export&amp;rs:Command=Render&amp;rc:Parameters=False&amp;Test_Seqno=WH132008" xr:uid="{00000000-0004-0000-0300-000043000000}"/>
    <hyperlink ref="C35" r:id="rId69" display="http://reliability.mot.com/ALTV4/Reports/ALTTestReport_Functional.aspx?Test_Seqno=WH131933" xr:uid="{00000000-0004-0000-0300-000044000000}"/>
    <hyperlink ref="T35" r:id="rId70" display="http://100.65.83.171/ReportServer/Pages/ReportViewer.aspx?%2fgALT_V3_Reports%2fAll+Failure+Info+Export&amp;rs:Command=Render&amp;rc:Parameters=False&amp;Test_Seqno=WH131933" xr:uid="{00000000-0004-0000-0300-000045000000}"/>
    <hyperlink ref="C36" r:id="rId71" display="http://reliability.mot.com/ALTV4/Reports/ALTTestReport_Functional.aspx?Test_Seqno=WH131932" xr:uid="{00000000-0004-0000-0300-000046000000}"/>
    <hyperlink ref="T36" r:id="rId72" display="http://100.65.83.171/ReportServer/Pages/ReportViewer.aspx?%2fgALT_V3_Reports%2fAll+Failure+Info+Export&amp;rs:Command=Render&amp;rc:Parameters=False&amp;Test_Seqno=WH131932" xr:uid="{00000000-0004-0000-0300-000047000000}"/>
    <hyperlink ref="C37" r:id="rId73" display="http://reliability.mot.com/ALTV4/Reports/ALTTestReport_Functional.aspx?Test_Seqno=WH131884" xr:uid="{00000000-0004-0000-0300-000048000000}"/>
    <hyperlink ref="T37" r:id="rId74" display="http://100.65.83.171/ReportServer/Pages/ReportViewer.aspx?%2fgALT_V3_Reports%2fAll+Failure+Info+Export&amp;rs:Command=Render&amp;rc:Parameters=False&amp;Test_Seqno=WH131884" xr:uid="{00000000-0004-0000-0300-000049000000}"/>
    <hyperlink ref="C38" r:id="rId75" display="http://reliability.mot.com/ALTV4/Reports/ALTTestReport_Functional.aspx?Test_Seqno=WH131868" xr:uid="{00000000-0004-0000-0300-00004A000000}"/>
    <hyperlink ref="T38" r:id="rId76" display="http://100.65.83.171/ReportServer/Pages/ReportViewer.aspx?%2fgALT_V3_Reports%2fAll+Failure+Info+Export&amp;rs:Command=Render&amp;rc:Parameters=False&amp;Test_Seqno=WH131868" xr:uid="{00000000-0004-0000-0300-00004B000000}"/>
    <hyperlink ref="C39" r:id="rId77" display="http://reliability.mot.com/ALTV4/Reports/ALTTestReport_Functional.aspx?Test_Seqno=WH131867" xr:uid="{00000000-0004-0000-0300-00004C000000}"/>
    <hyperlink ref="T39" r:id="rId78" display="http://100.65.83.171/ReportServer/Pages/ReportViewer.aspx?%2fgALT_V3_Reports%2fAll+Failure+Info+Export&amp;rs:Command=Render&amp;rc:Parameters=False&amp;Test_Seqno=WH131867" xr:uid="{00000000-0004-0000-0300-00004D000000}"/>
    <hyperlink ref="C40" r:id="rId79" display="http://reliability.mot.com/ALTV4/Reports/ALTTestReport_Functional.aspx?Test_Seqno=WH131772" xr:uid="{00000000-0004-0000-0300-00004E000000}"/>
    <hyperlink ref="T40" r:id="rId80" display="http://100.65.83.171/ReportServer/Pages/ReportViewer.aspx?%2fgALT_V3_Reports%2fAll+Failure+Info+Export&amp;rs:Command=Render&amp;rc:Parameters=False&amp;Test_Seqno=WH131772" xr:uid="{00000000-0004-0000-0300-00004F000000}"/>
    <hyperlink ref="C41" r:id="rId81" display="http://reliability.mot.com/ALTV4/Reports/ALTTestReport_Functional.aspx?Test_Seqno=WH131771" xr:uid="{00000000-0004-0000-0300-000050000000}"/>
    <hyperlink ref="T41" r:id="rId82" display="http://100.65.83.171/ReportServer/Pages/ReportViewer.aspx?%2fgALT_V3_Reports%2fAll+Failure+Info+Export&amp;rs:Command=Render&amp;rc:Parameters=False&amp;Test_Seqno=WH131771" xr:uid="{00000000-0004-0000-0300-000051000000}"/>
    <hyperlink ref="C42" r:id="rId83" display="http://reliability.mot.com/ALTV4/Reports/ALTTestReport_Functional.aspx?Test_Seqno=WH131694" xr:uid="{00000000-0004-0000-0300-000052000000}"/>
    <hyperlink ref="T42" r:id="rId84" display="http://100.65.83.171/ReportServer/Pages/ReportViewer.aspx?%2fgALT_V3_Reports%2fAll+Failure+Info+Export&amp;rs:Command=Render&amp;rc:Parameters=False&amp;Test_Seqno=WH131694" xr:uid="{00000000-0004-0000-0300-000053000000}"/>
    <hyperlink ref="C43" r:id="rId85" display="http://reliability.mot.com/ALTV4/Reports/ALTTestReport_Functional.aspx?Test_Seqno=WH131641" xr:uid="{00000000-0004-0000-0300-000054000000}"/>
    <hyperlink ref="T43" r:id="rId86" display="http://100.65.83.171/ReportServer/Pages/ReportViewer.aspx?%2fgALT_V3_Reports%2fAll+Failure+Info+Export&amp;rs:Command=Render&amp;rc:Parameters=False&amp;Test_Seqno=WH131641" xr:uid="{00000000-0004-0000-0300-000055000000}"/>
    <hyperlink ref="C44" r:id="rId87" display="http://reliability.mot.com/ALTV4/Reports/ALTTestReport_Functional.aspx?Test_Seqno=WH131578" xr:uid="{00000000-0004-0000-0300-000056000000}"/>
    <hyperlink ref="T44" r:id="rId88" display="http://100.65.83.171/ReportServer/Pages/ReportViewer.aspx?%2fgALT_V3_Reports%2fAll+Failure+Info+Export&amp;rs:Command=Render&amp;rc:Parameters=False&amp;Test_Seqno=WH131578" xr:uid="{00000000-0004-0000-0300-000057000000}"/>
    <hyperlink ref="C45" r:id="rId89" display="http://reliability.mot.com/ALTV4/Reports/ALTTestReport_Functional.aspx?Test_Seqno=WH131568" xr:uid="{00000000-0004-0000-0300-000058000000}"/>
    <hyperlink ref="T45" r:id="rId90" display="http://100.65.83.171/ReportServer/Pages/ReportViewer.aspx?%2fgALT_V3_Reports%2fAll+Failure+Info+Export&amp;rs:Command=Render&amp;rc:Parameters=False&amp;Test_Seqno=WH131568" xr:uid="{00000000-0004-0000-0300-000059000000}"/>
    <hyperlink ref="C46" r:id="rId91" display="http://reliability.mot.com/ALTV4/Reports/ALTTestReport_Functional.aspx?Test_Seqno=WH131385" xr:uid="{00000000-0004-0000-0300-00005A000000}"/>
    <hyperlink ref="T46" r:id="rId92" display="http://100.65.83.171/ReportServer/Pages/ReportViewer.aspx?%2fgALT_V3_Reports%2fAll+Failure+Info+Export&amp;rs:Command=Render&amp;rc:Parameters=False&amp;Test_Seqno=WH131385" xr:uid="{00000000-0004-0000-0300-00005B000000}"/>
    <hyperlink ref="C47" r:id="rId93" display="http://reliability.mot.com/ALTV4/Reports/ALTTestReport_Functional.aspx?Test_Seqno=WH131383" xr:uid="{00000000-0004-0000-0300-00005C000000}"/>
    <hyperlink ref="T47" r:id="rId94" display="http://100.65.83.171/ReportServer/Pages/ReportViewer.aspx?%2fgALT_V3_Reports%2fAll+Failure+Info+Export&amp;rs:Command=Render&amp;rc:Parameters=False&amp;Test_Seqno=WH131383" xr:uid="{00000000-0004-0000-0300-00005D000000}"/>
    <hyperlink ref="C48" r:id="rId95" display="http://reliability.mot.com/ALTV4/Reports/ALTTestReport_Functional.aspx?Test_Seqno=WH131379" xr:uid="{00000000-0004-0000-0300-00005E000000}"/>
    <hyperlink ref="T48" r:id="rId96" display="http://100.65.83.171/ReportServer/Pages/ReportViewer.aspx?%2fgALT_V3_Reports%2fAll+Failure+Info+Export&amp;rs:Command=Render&amp;rc:Parameters=False&amp;Test_Seqno=WH131379" xr:uid="{00000000-0004-0000-0300-00005F000000}"/>
    <hyperlink ref="C49" r:id="rId97" display="http://reliability.mot.com/ALTV4/Reports/ALTTestReport_Functional.aspx?Test_Seqno=WH131374" xr:uid="{00000000-0004-0000-0300-000060000000}"/>
    <hyperlink ref="T49" r:id="rId98" display="http://100.65.83.171/ReportServer/Pages/ReportViewer.aspx?%2fgALT_V3_Reports%2fAll+Failure+Info+Export&amp;rs:Command=Render&amp;rc:Parameters=False&amp;Test_Seqno=WH131374" xr:uid="{00000000-0004-0000-0300-000061000000}"/>
    <hyperlink ref="C50" r:id="rId99" display="http://reliability.mot.com/ALTV4/Reports/ALTTestReport_Functional.aspx?Test_Seqno=WH131373" xr:uid="{00000000-0004-0000-0300-000062000000}"/>
    <hyperlink ref="T50" r:id="rId100" display="http://100.65.83.171/ReportServer/Pages/ReportViewer.aspx?%2fgALT_V3_Reports%2fAll+Failure+Info+Export&amp;rs:Command=Render&amp;rc:Parameters=False&amp;Test_Seqno=WH131373" xr:uid="{00000000-0004-0000-0300-000063000000}"/>
    <hyperlink ref="C51" r:id="rId101" display="http://reliability.mot.com/ALTV4/Reports/ALTTestReport_Functional.aspx?Test_Seqno=WH131342" xr:uid="{00000000-0004-0000-0300-000064000000}"/>
    <hyperlink ref="T51" r:id="rId102" display="http://100.65.83.171/ReportServer/Pages/ReportViewer.aspx?%2fgALT_V3_Reports%2fAll+Failure+Info+Export&amp;rs:Command=Render&amp;rc:Parameters=False&amp;Test_Seqno=WH131342" xr:uid="{00000000-0004-0000-0300-000065000000}"/>
    <hyperlink ref="C52" r:id="rId103" display="http://reliability.mot.com/ALTV4/Reports/ALTTestReport_Functional.aspx?Test_Seqno=WH131339" xr:uid="{00000000-0004-0000-0300-000066000000}"/>
    <hyperlink ref="T52" r:id="rId104" display="http://100.65.83.171/ReportServer/Pages/ReportViewer.aspx?%2fgALT_V3_Reports%2fAll+Failure+Info+Export&amp;rs:Command=Render&amp;rc:Parameters=False&amp;Test_Seqno=WH131339" xr:uid="{00000000-0004-0000-0300-000067000000}"/>
    <hyperlink ref="C53" r:id="rId105" display="http://reliability.mot.com/ALTV4/Reports/ALTTestReport_Functional.aspx?Test_Seqno=WH131278" xr:uid="{00000000-0004-0000-0300-000068000000}"/>
    <hyperlink ref="T53" r:id="rId106" display="http://100.65.83.171/ReportServer/Pages/ReportViewer.aspx?%2fgALT_V3_Reports%2fAll+Failure+Info+Export&amp;rs:Command=Render&amp;rc:Parameters=False&amp;Test_Seqno=WH131278" xr:uid="{00000000-0004-0000-0300-000069000000}"/>
    <hyperlink ref="C54" r:id="rId107" display="http://reliability.mot.com/ALTV4/Reports/ALTTestReport_Functional.aspx?Test_Seqno=WH131223" xr:uid="{00000000-0004-0000-0300-00006A000000}"/>
    <hyperlink ref="T54" r:id="rId108" display="http://100.65.83.171/ReportServer/Pages/ReportViewer.aspx?%2fgALT_V3_Reports%2fAll+Failure+Info+Export&amp;rs:Command=Render&amp;rc:Parameters=False&amp;Test_Seqno=WH131223" xr:uid="{00000000-0004-0000-0300-00006B000000}"/>
    <hyperlink ref="C55" r:id="rId109" display="http://reliability.mot.com/ALTV4/Reports/ALTTestReport_Functional.aspx?Test_Seqno=WH131203" xr:uid="{00000000-0004-0000-0300-00006C000000}"/>
    <hyperlink ref="T55" r:id="rId110" display="http://100.65.83.171/ReportServer/Pages/ReportViewer.aspx?%2fgALT_V3_Reports%2fAll+Failure+Info+Export&amp;rs:Command=Render&amp;rc:Parameters=False&amp;Test_Seqno=WH131203" xr:uid="{00000000-0004-0000-0300-00006D000000}"/>
    <hyperlink ref="C56" r:id="rId111" display="http://reliability.mot.com/ALTV4/Reports/ALTTestReport_Functional.aspx?Test_Seqno=WH131092" xr:uid="{00000000-0004-0000-0300-00006E000000}"/>
    <hyperlink ref="T56" r:id="rId112" display="http://100.65.83.171/ReportServer/Pages/ReportViewer.aspx?%2fgALT_V3_Reports%2fAll+Failure+Info+Export&amp;rs:Command=Render&amp;rc:Parameters=False&amp;Test_Seqno=WH131092" xr:uid="{00000000-0004-0000-0300-00006F000000}"/>
    <hyperlink ref="C57" r:id="rId113" display="http://reliability.mot.com/ALTV4/Reports/ALTTestReport_Functional.aspx?Test_Seqno=WH131091" xr:uid="{00000000-0004-0000-0300-000070000000}"/>
    <hyperlink ref="T57" r:id="rId114" display="http://100.65.83.171/ReportServer/Pages/ReportViewer.aspx?%2fgALT_V3_Reports%2fAll+Failure+Info+Export&amp;rs:Command=Render&amp;rc:Parameters=False&amp;Test_Seqno=WH131091" xr:uid="{00000000-0004-0000-0300-000071000000}"/>
    <hyperlink ref="C58" r:id="rId115" display="http://reliability.mot.com/ALTV4/Reports/ALTTestReport_Functional.aspx?Test_Seqno=WH131089" xr:uid="{00000000-0004-0000-0300-000072000000}"/>
    <hyperlink ref="T58" r:id="rId116" display="http://100.65.83.171/ReportServer/Pages/ReportViewer.aspx?%2fgALT_V3_Reports%2fAll+Failure+Info+Export&amp;rs:Command=Render&amp;rc:Parameters=False&amp;Test_Seqno=WH131089" xr:uid="{00000000-0004-0000-0300-000073000000}"/>
    <hyperlink ref="C59" r:id="rId117" display="http://reliability.mot.com/ALTV4/Reports/ALTTestReport_Functional.aspx?Test_Seqno=WH131069" xr:uid="{00000000-0004-0000-0300-000074000000}"/>
    <hyperlink ref="T59" r:id="rId118" display="http://100.65.83.171/ReportServer/Pages/ReportViewer.aspx?%2fgALT_V3_Reports%2fAll+Failure+Info+Export&amp;rs:Command=Render&amp;rc:Parameters=False&amp;Test_Seqno=WH131069" xr:uid="{00000000-0004-0000-0300-000075000000}"/>
    <hyperlink ref="C60" r:id="rId119" display="http://reliability.mot.com/ALTV4/Reports/ALTTestReport_Functional.aspx?Test_Seqno=WH131068" xr:uid="{00000000-0004-0000-0300-000076000000}"/>
    <hyperlink ref="T60" r:id="rId120" display="http://100.65.83.171/ReportServer/Pages/ReportViewer.aspx?%2fgALT_V3_Reports%2fAll+Failure+Info+Export&amp;rs:Command=Render&amp;rc:Parameters=False&amp;Test_Seqno=WH131068" xr:uid="{00000000-0004-0000-0300-000077000000}"/>
    <hyperlink ref="C61" r:id="rId121" display="http://reliability.mot.com/ALTV4/Reports/ALTTestReport_Functional.aspx?Test_Seqno=WH131067" xr:uid="{00000000-0004-0000-0300-000078000000}"/>
    <hyperlink ref="T61" r:id="rId122" display="http://100.65.83.171/ReportServer/Pages/ReportViewer.aspx?%2fgALT_V3_Reports%2fAll+Failure+Info+Export&amp;rs:Command=Render&amp;rc:Parameters=False&amp;Test_Seqno=WH131067" xr:uid="{00000000-0004-0000-0300-000079000000}"/>
    <hyperlink ref="C62" r:id="rId123" display="http://reliability.mot.com/ALTV4/Reports/ALTTestReport_Functional.aspx?Test_Seqno=WH131051" xr:uid="{00000000-0004-0000-0300-00007A000000}"/>
    <hyperlink ref="T62" r:id="rId124" display="http://100.65.83.171/ReportServer/Pages/ReportViewer.aspx?%2fgALT_V3_Reports%2fAll+Failure+Info+Export&amp;rs:Command=Render&amp;rc:Parameters=False&amp;Test_Seqno=WH131051" xr:uid="{00000000-0004-0000-0300-00007B000000}"/>
    <hyperlink ref="C63" r:id="rId125" display="http://reliability.mot.com/ALTV4/Reports/ALTTestReport_Functional.aspx?Test_Seqno=RF131035" xr:uid="{00000000-0004-0000-0300-00007C000000}"/>
    <hyperlink ref="T63" r:id="rId126" display="http://100.65.83.171/ReportServer/Pages/ReportViewer.aspx?%2fgALT_V3_Reports%2fAll+Failure+Info+Export&amp;rs:Command=Render&amp;rc:Parameters=False&amp;Test_Seqno=RF131035" xr:uid="{00000000-0004-0000-0300-00007D000000}"/>
    <hyperlink ref="C64" r:id="rId127" display="http://reliability.mot.com/ALTV4/Reports/ALTTestReport_Functional.aspx?Test_Seqno=WH131032" xr:uid="{00000000-0004-0000-0300-00007E000000}"/>
    <hyperlink ref="T64" r:id="rId128" display="http://100.65.83.171/ReportServer/Pages/ReportViewer.aspx?%2fgALT_V3_Reports%2fAll+Failure+Info+Export&amp;rs:Command=Render&amp;rc:Parameters=False&amp;Test_Seqno=WH131032" xr:uid="{00000000-0004-0000-0300-00007F000000}"/>
    <hyperlink ref="C65" r:id="rId129" display="http://reliability.mot.com/ALTV4/Reports/ALTTestReport_Functional.aspx?Test_Seqno=WH130997" xr:uid="{00000000-0004-0000-0300-000080000000}"/>
    <hyperlink ref="T65" r:id="rId130" display="http://100.65.83.171/ReportServer/Pages/ReportViewer.aspx?%2fgALT_V3_Reports%2fAll+Failure+Info+Export&amp;rs:Command=Render&amp;rc:Parameters=False&amp;Test_Seqno=WH130997" xr:uid="{00000000-0004-0000-0300-000081000000}"/>
    <hyperlink ref="C66" r:id="rId131" display="http://reliability.mot.com/ALTV4/Reports/ALTTestReport_Functional.aspx?Test_Seqno=WH130954" xr:uid="{00000000-0004-0000-0300-000082000000}"/>
    <hyperlink ref="T66" r:id="rId132" display="http://100.65.83.171/ReportServer/Pages/ReportViewer.aspx?%2fgALT_V3_Reports%2fAll+Failure+Info+Export&amp;rs:Command=Render&amp;rc:Parameters=False&amp;Test_Seqno=WH130954" xr:uid="{00000000-0004-0000-0300-000083000000}"/>
    <hyperlink ref="C67" r:id="rId133" display="http://reliability.mot.com/ALTV4/Reports/ALTTestReport_Functional.aspx?Test_Seqno=WH130953" xr:uid="{00000000-0004-0000-0300-000084000000}"/>
    <hyperlink ref="T67" r:id="rId134" display="http://100.65.83.171/ReportServer/Pages/ReportViewer.aspx?%2fgALT_V3_Reports%2fAll+Failure+Info+Export&amp;rs:Command=Render&amp;rc:Parameters=False&amp;Test_Seqno=WH130953" xr:uid="{00000000-0004-0000-0300-000085000000}"/>
    <hyperlink ref="C68" r:id="rId135" display="http://reliability.mot.com/ALTV4/Reports/ALTTestReport_Functional.aspx?Test_Seqno=WH130896" xr:uid="{00000000-0004-0000-0300-000086000000}"/>
    <hyperlink ref="T68" r:id="rId136" display="http://100.65.83.171/ReportServer/Pages/ReportViewer.aspx?%2fgALT_V3_Reports%2fAll+Failure+Info+Export&amp;rs:Command=Render&amp;rc:Parameters=False&amp;Test_Seqno=WH130896" xr:uid="{00000000-0004-0000-0300-000087000000}"/>
    <hyperlink ref="C69" r:id="rId137" display="http://reliability.mot.com/ALTV4/Reports/ALTTestReport_Functional.aspx?Test_Seqno=WH130895" xr:uid="{00000000-0004-0000-0300-000088000000}"/>
    <hyperlink ref="T69" r:id="rId138" display="http://100.65.83.171/ReportServer/Pages/ReportViewer.aspx?%2fgALT_V3_Reports%2fAll+Failure+Info+Export&amp;rs:Command=Render&amp;rc:Parameters=False&amp;Test_Seqno=WH130895" xr:uid="{00000000-0004-0000-0300-000089000000}"/>
    <hyperlink ref="C70" r:id="rId139" display="http://reliability.mot.com/ALTV4/Reports/ALTTestReport_Functional.aspx?Test_Seqno=WH130894" xr:uid="{00000000-0004-0000-0300-00008A000000}"/>
    <hyperlink ref="T70" r:id="rId140" display="http://100.65.83.171/ReportServer/Pages/ReportViewer.aspx?%2fgALT_V3_Reports%2fAll+Failure+Info+Export&amp;rs:Command=Render&amp;rc:Parameters=False&amp;Test_Seqno=WH130894" xr:uid="{00000000-0004-0000-0300-00008B000000}"/>
    <hyperlink ref="C71" r:id="rId141" display="http://reliability.mot.com/ALTV4/Reports/ALTTestReport_Functional.aspx?Test_Seqno=WH130893" xr:uid="{00000000-0004-0000-0300-00008C000000}"/>
    <hyperlink ref="T71" r:id="rId142" display="http://100.65.83.171/ReportServer/Pages/ReportViewer.aspx?%2fgALT_V3_Reports%2fAll+Failure+Info+Export&amp;rs:Command=Render&amp;rc:Parameters=False&amp;Test_Seqno=WH130893" xr:uid="{00000000-0004-0000-0300-00008D000000}"/>
    <hyperlink ref="C72" r:id="rId143" display="http://reliability.mot.com/ALTV4/Reports/ALTTestReport_Functional.aspx?Test_Seqno=WH130803" xr:uid="{00000000-0004-0000-0300-00008E000000}"/>
    <hyperlink ref="T72" r:id="rId144" display="http://100.65.83.171/ReportServer/Pages/ReportViewer.aspx?%2fgALT_V3_Reports%2fAll+Failure+Info+Export&amp;rs:Command=Render&amp;rc:Parameters=False&amp;Test_Seqno=WH130803" xr:uid="{00000000-0004-0000-0300-00008F000000}"/>
    <hyperlink ref="C73" r:id="rId145" display="http://reliability.mot.com/ALTV4/Reports/ALTTestReport_Functional.aspx?Test_Seqno=WH130722" xr:uid="{00000000-0004-0000-0300-000090000000}"/>
    <hyperlink ref="T73" r:id="rId146" display="http://100.65.83.171/ReportServer/Pages/ReportViewer.aspx?%2fgALT_V3_Reports%2fAll+Failure+Info+Export&amp;rs:Command=Render&amp;rc:Parameters=False&amp;Test_Seqno=WH130722" xr:uid="{00000000-0004-0000-0300-000091000000}"/>
    <hyperlink ref="C74" r:id="rId147" display="http://reliability.mot.com/ALTV4/Reports/ALTTestReport_Functional.aspx?Test_Seqno=WH130717" xr:uid="{00000000-0004-0000-0300-000092000000}"/>
    <hyperlink ref="T74" r:id="rId148" display="http://100.65.83.171/ReportServer/Pages/ReportViewer.aspx?%2fgALT_V3_Reports%2fAll+Failure+Info+Export&amp;rs:Command=Render&amp;rc:Parameters=False&amp;Test_Seqno=WH130717" xr:uid="{00000000-0004-0000-0300-000093000000}"/>
    <hyperlink ref="C75" r:id="rId149" display="http://reliability.mot.com/ALTV4/Reports/ALTTestReport_Functional.aspx?Test_Seqno=WH130578" xr:uid="{00000000-0004-0000-0300-000094000000}"/>
    <hyperlink ref="T75" r:id="rId150" display="http://100.65.83.171/ReportServer/Pages/ReportViewer.aspx?%2fgALT_V3_Reports%2fAll+Failure+Info+Export&amp;rs:Command=Render&amp;rc:Parameters=False&amp;Test_Seqno=WH130578" xr:uid="{00000000-0004-0000-0300-000095000000}"/>
    <hyperlink ref="C76" r:id="rId151" display="http://reliability.mot.com/ALTV4/Reports/ALTTestReport_Functional.aspx?Test_Seqno=WH130577" xr:uid="{00000000-0004-0000-0300-000096000000}"/>
    <hyperlink ref="T76" r:id="rId152" display="http://100.65.83.171/ReportServer/Pages/ReportViewer.aspx?%2fgALT_V3_Reports%2fAll+Failure+Info+Export&amp;rs:Command=Render&amp;rc:Parameters=False&amp;Test_Seqno=WH130577" xr:uid="{00000000-0004-0000-0300-000097000000}"/>
    <hyperlink ref="C77" r:id="rId153" display="http://reliability.mot.com/ALTV4/Reports/ALTTestReport_Functional.aspx?Test_Seqno=WH130538" xr:uid="{00000000-0004-0000-0300-000098000000}"/>
    <hyperlink ref="T77" r:id="rId154" display="http://100.65.83.171/ReportServer/Pages/ReportViewer.aspx?%2fgALT_V3_Reports%2fAll+Failure+Info+Export&amp;rs:Command=Render&amp;rc:Parameters=False&amp;Test_Seqno=WH130538" xr:uid="{00000000-0004-0000-0300-000099000000}"/>
    <hyperlink ref="C78" r:id="rId155" display="http://reliability.mot.com/ALTV4/Reports/ALTTestReport_Functional.aspx?Test_Seqno=WH130532" xr:uid="{00000000-0004-0000-0300-00009A000000}"/>
    <hyperlink ref="T78" r:id="rId156" display="http://100.65.83.171/ReportServer/Pages/ReportViewer.aspx?%2fgALT_V3_Reports%2fAll+Failure+Info+Export&amp;rs:Command=Render&amp;rc:Parameters=False&amp;Test_Seqno=WH130532" xr:uid="{00000000-0004-0000-0300-00009B000000}"/>
    <hyperlink ref="C79" r:id="rId157" display="http://reliability.mot.com/ALTV4/Reports/ALTTestReport_Functional.aspx?Test_Seqno=RF130488" xr:uid="{00000000-0004-0000-0300-00009C000000}"/>
    <hyperlink ref="T79" r:id="rId158" display="http://100.65.83.171/ReportServer/Pages/ReportViewer.aspx?%2fgALT_V3_Reports%2fAll+Failure+Info+Export&amp;rs:Command=Render&amp;rc:Parameters=False&amp;Test_Seqno=RF130488" xr:uid="{00000000-0004-0000-0300-00009D000000}"/>
    <hyperlink ref="C80" r:id="rId159" display="http://reliability.mot.com/ALTV4/Reports/ALTTestReport_Functional.aspx?Test_Seqno=RF130447" xr:uid="{00000000-0004-0000-0300-00009E000000}"/>
    <hyperlink ref="T80" r:id="rId160" display="http://100.65.83.171/ReportServer/Pages/ReportViewer.aspx?%2fgALT_V3_Reports%2fAll+Failure+Info+Export&amp;rs:Command=Render&amp;rc:Parameters=False&amp;Test_Seqno=RF130447" xr:uid="{00000000-0004-0000-0300-00009F000000}"/>
    <hyperlink ref="C81" r:id="rId161" display="http://reliability.mot.com/ALTV4/Reports/ALTTestReport_Functional.aspx?Test_Seqno=WH130358" xr:uid="{00000000-0004-0000-0300-0000A0000000}"/>
    <hyperlink ref="T81" r:id="rId162" display="http://100.65.83.171/ReportServer/Pages/ReportViewer.aspx?%2fgALT_V3_Reports%2fAll+Failure+Info+Export&amp;rs:Command=Render&amp;rc:Parameters=False&amp;Test_Seqno=WH130358" xr:uid="{00000000-0004-0000-0300-0000A1000000}"/>
    <hyperlink ref="C82" r:id="rId163" display="http://reliability.mot.com/ALTV4/Reports/ALTTestReport_Functional.aspx?Test_Seqno=WH130357" xr:uid="{00000000-0004-0000-0300-0000A2000000}"/>
    <hyperlink ref="T82" r:id="rId164" display="http://100.65.83.171/ReportServer/Pages/ReportViewer.aspx?%2fgALT_V3_Reports%2fAll+Failure+Info+Export&amp;rs:Command=Render&amp;rc:Parameters=False&amp;Test_Seqno=WH130357" xr:uid="{00000000-0004-0000-0300-0000A3000000}"/>
    <hyperlink ref="C83" r:id="rId165" display="http://reliability.mot.com/ALTV4/Reports/ALTTestReport_Functional.aspx?Test_Seqno=WH130356" xr:uid="{00000000-0004-0000-0300-0000A4000000}"/>
    <hyperlink ref="T83" r:id="rId166" display="http://100.65.83.171/ReportServer/Pages/ReportViewer.aspx?%2fgALT_V3_Reports%2fAll+Failure+Info+Export&amp;rs:Command=Render&amp;rc:Parameters=False&amp;Test_Seqno=WH130356" xr:uid="{00000000-0004-0000-0300-0000A5000000}"/>
    <hyperlink ref="C84" r:id="rId167" display="http://reliability.mot.com/ALTV4/Reports/ALTTestReport_Functional.aspx?Test_Seqno=WH130355" xr:uid="{00000000-0004-0000-0300-0000A6000000}"/>
    <hyperlink ref="T84" r:id="rId168" display="http://100.65.83.171/ReportServer/Pages/ReportViewer.aspx?%2fgALT_V3_Reports%2fAll+Failure+Info+Export&amp;rs:Command=Render&amp;rc:Parameters=False&amp;Test_Seqno=WH130355" xr:uid="{00000000-0004-0000-0300-0000A7000000}"/>
    <hyperlink ref="C85" r:id="rId169" display="http://reliability.mot.com/ALTV4/Reports/ALTTestReport_Functional.aspx?Test_Seqno=WH130301" xr:uid="{00000000-0004-0000-0300-0000A8000000}"/>
    <hyperlink ref="T85" r:id="rId170" display="http://100.65.83.171/ReportServer/Pages/ReportViewer.aspx?%2fgALT_V3_Reports%2fAll+Failure+Info+Export&amp;rs:Command=Render&amp;rc:Parameters=False&amp;Test_Seqno=WH130301" xr:uid="{00000000-0004-0000-0300-0000A9000000}"/>
    <hyperlink ref="C86" r:id="rId171" display="http://reliability.mot.com/ALTV4/Reports/ALTTestReport_Functional.aspx?Test_Seqno=WH130297" xr:uid="{00000000-0004-0000-0300-0000AA000000}"/>
    <hyperlink ref="T86" r:id="rId172" display="http://100.65.83.171/ReportServer/Pages/ReportViewer.aspx?%2fgALT_V3_Reports%2fAll+Failure+Info+Export&amp;rs:Command=Render&amp;rc:Parameters=False&amp;Test_Seqno=WH130297" xr:uid="{00000000-0004-0000-0300-0000AB000000}"/>
    <hyperlink ref="C87" r:id="rId173" display="http://reliability.mot.com/ALTV4/Reports/ALTTestReport_Functional.aspx?Test_Seqno=WH130291" xr:uid="{00000000-0004-0000-0300-0000AC000000}"/>
    <hyperlink ref="T87" r:id="rId174" display="http://100.65.83.171/ReportServer/Pages/ReportViewer.aspx?%2fgALT_V3_Reports%2fAll+Failure+Info+Export&amp;rs:Command=Render&amp;rc:Parameters=False&amp;Test_Seqno=WH130291" xr:uid="{00000000-0004-0000-0300-0000AD000000}"/>
    <hyperlink ref="C88" r:id="rId175" display="http://reliability.mot.com/ALTV4/Reports/ALTTestReport_Functional.aspx?Test_Seqno=WH130265" xr:uid="{00000000-0004-0000-0300-0000AE000000}"/>
    <hyperlink ref="T88" r:id="rId176" display="http://100.65.83.171/ReportServer/Pages/ReportViewer.aspx?%2fgALT_V3_Reports%2fAll+Failure+Info+Export&amp;rs:Command=Render&amp;rc:Parameters=False&amp;Test_Seqno=WH130265" xr:uid="{00000000-0004-0000-0300-0000AF000000}"/>
    <hyperlink ref="C89" r:id="rId177" display="http://reliability.mot.com/ALTV4/Reports/ALTTestReport_Functional.aspx?Test_Seqno=WH130217" xr:uid="{00000000-0004-0000-0300-0000B0000000}"/>
    <hyperlink ref="T89" r:id="rId178" display="http://100.65.83.171/ReportServer/Pages/ReportViewer.aspx?%2fgALT_V3_Reports%2fAll+Failure+Info+Export&amp;rs:Command=Render&amp;rc:Parameters=False&amp;Test_Seqno=WH130217" xr:uid="{00000000-0004-0000-0300-0000B1000000}"/>
    <hyperlink ref="C90" r:id="rId179" display="http://reliability.mot.com/ALTV4/Reports/ALTTestReport_Functional.aspx?Test_Seqno=WH130216" xr:uid="{00000000-0004-0000-0300-0000B2000000}"/>
    <hyperlink ref="T90" r:id="rId180" display="http://100.65.83.171/ReportServer/Pages/ReportViewer.aspx?%2fgALT_V3_Reports%2fAll+Failure+Info+Export&amp;rs:Command=Render&amp;rc:Parameters=False&amp;Test_Seqno=WH130216" xr:uid="{00000000-0004-0000-0300-0000B3000000}"/>
    <hyperlink ref="C91" r:id="rId181" display="http://reliability.mot.com/ALTV4/Reports/ALTTestReport_Functional.aspx?Test_Seqno=WH130215" xr:uid="{00000000-0004-0000-0300-0000B4000000}"/>
    <hyperlink ref="T91" r:id="rId182" display="http://100.65.83.171/ReportServer/Pages/ReportViewer.aspx?%2fgALT_V3_Reports%2fAll+Failure+Info+Export&amp;rs:Command=Render&amp;rc:Parameters=False&amp;Test_Seqno=WH130215" xr:uid="{00000000-0004-0000-0300-0000B5000000}"/>
    <hyperlink ref="C92" r:id="rId183" display="http://reliability.mot.com/ALTV4/Reports/ALTTestReport_Functional.aspx?Test_Seqno=WH130213" xr:uid="{00000000-0004-0000-0300-0000B6000000}"/>
    <hyperlink ref="T92" r:id="rId184" display="http://100.65.83.171/ReportServer/Pages/ReportViewer.aspx?%2fgALT_V3_Reports%2fAll+Failure+Info+Export&amp;rs:Command=Render&amp;rc:Parameters=False&amp;Test_Seqno=WH130213" xr:uid="{00000000-0004-0000-0300-0000B7000000}"/>
    <hyperlink ref="C93" r:id="rId185" display="http://reliability.mot.com/ALTV4/Reports/ALTTestReport_Functional.aspx?Test_Seqno=WH130212" xr:uid="{00000000-0004-0000-0300-0000B8000000}"/>
    <hyperlink ref="T93" r:id="rId186" display="http://100.65.83.171/ReportServer/Pages/ReportViewer.aspx?%2fgALT_V3_Reports%2fAll+Failure+Info+Export&amp;rs:Command=Render&amp;rc:Parameters=False&amp;Test_Seqno=WH130212" xr:uid="{00000000-0004-0000-0300-0000B9000000}"/>
    <hyperlink ref="C94" r:id="rId187" display="http://reliability.mot.com/ALTV4/Reports/ALTTestReport_Functional.aspx?Test_Seqno=WH130144" xr:uid="{00000000-0004-0000-0300-0000BA000000}"/>
    <hyperlink ref="T94" r:id="rId188" display="http://100.65.83.171/ReportServer/Pages/ReportViewer.aspx?%2fgALT_V3_Reports%2fAll+Failure+Info+Export&amp;rs:Command=Render&amp;rc:Parameters=False&amp;Test_Seqno=WH130144" xr:uid="{00000000-0004-0000-0300-0000BB000000}"/>
    <hyperlink ref="C95" r:id="rId189" display="http://reliability.mot.com/ALTV4/Reports/ALTTestReport_Functional.aspx?Test_Seqno=WH130143" xr:uid="{00000000-0004-0000-0300-0000BC000000}"/>
    <hyperlink ref="T95" r:id="rId190" display="http://100.65.83.171/ReportServer/Pages/ReportViewer.aspx?%2fgALT_V3_Reports%2fAll+Failure+Info+Export&amp;rs:Command=Render&amp;rc:Parameters=False&amp;Test_Seqno=WH130143" xr:uid="{00000000-0004-0000-0300-0000BD000000}"/>
    <hyperlink ref="C96" r:id="rId191" display="http://reliability.mot.com/ALTV4/Reports/ALTTestReport_Functional.aspx?Test_Seqno=WH130141" xr:uid="{00000000-0004-0000-0300-0000BE000000}"/>
    <hyperlink ref="T96" r:id="rId192" display="http://100.65.83.171/ReportServer/Pages/ReportViewer.aspx?%2fgALT_V3_Reports%2fAll+Failure+Info+Export&amp;rs:Command=Render&amp;rc:Parameters=False&amp;Test_Seqno=WH130141" xr:uid="{00000000-0004-0000-0300-0000BF000000}"/>
    <hyperlink ref="C97" r:id="rId193" display="http://reliability.mot.com/ALTV4/Reports/ALTTestReport_Functional.aspx?Test_Seqno=WH130140" xr:uid="{00000000-0004-0000-0300-0000C0000000}"/>
    <hyperlink ref="T97" r:id="rId194" display="http://100.65.83.171/ReportServer/Pages/ReportViewer.aspx?%2fgALT_V3_Reports%2fAll+Failure+Info+Export&amp;rs:Command=Render&amp;rc:Parameters=False&amp;Test_Seqno=WH130140" xr:uid="{00000000-0004-0000-0300-0000C1000000}"/>
    <hyperlink ref="C98" r:id="rId195" display="http://reliability.mot.com/ALTV4/Reports/ALTTestReport_Functional.aspx?Test_Seqno=WH130138" xr:uid="{00000000-0004-0000-0300-0000C2000000}"/>
    <hyperlink ref="T98" r:id="rId196" display="http://100.65.83.171/ReportServer/Pages/ReportViewer.aspx?%2fgALT_V3_Reports%2fAll+Failure+Info+Export&amp;rs:Command=Render&amp;rc:Parameters=False&amp;Test_Seqno=WH130138" xr:uid="{00000000-0004-0000-0300-0000C3000000}"/>
    <hyperlink ref="C99" r:id="rId197" display="http://reliability.mot.com/ALTV4/Reports/ALTTestReport_Functional.aspx?Test_Seqno=WH130137" xr:uid="{00000000-0004-0000-0300-0000C4000000}"/>
    <hyperlink ref="T99" r:id="rId198" display="http://100.65.83.171/ReportServer/Pages/ReportViewer.aspx?%2fgALT_V3_Reports%2fAll+Failure+Info+Export&amp;rs:Command=Render&amp;rc:Parameters=False&amp;Test_Seqno=WH130137" xr:uid="{00000000-0004-0000-0300-0000C5000000}"/>
    <hyperlink ref="C100" r:id="rId199" display="http://reliability.mot.com/ALTV4/Reports/ALTTestReport_Functional.aspx?Test_Seqno=WH130136" xr:uid="{00000000-0004-0000-0300-0000C6000000}"/>
    <hyperlink ref="T100" r:id="rId200" display="http://100.65.83.171/ReportServer/Pages/ReportViewer.aspx?%2fgALT_V3_Reports%2fAll+Failure+Info+Export&amp;rs:Command=Render&amp;rc:Parameters=False&amp;Test_Seqno=WH130136" xr:uid="{00000000-0004-0000-0300-0000C7000000}"/>
    <hyperlink ref="C101" r:id="rId201" display="http://reliability.mot.com/ALTV4/Reports/ALTTestReport_Functional.aspx?Test_Seqno=WH130135" xr:uid="{00000000-0004-0000-0300-0000C8000000}"/>
    <hyperlink ref="T101" r:id="rId202" display="http://100.65.83.171/ReportServer/Pages/ReportViewer.aspx?%2fgALT_V3_Reports%2fAll+Failure+Info+Export&amp;rs:Command=Render&amp;rc:Parameters=False&amp;Test_Seqno=WH130135" xr:uid="{00000000-0004-0000-0300-0000C9000000}"/>
    <hyperlink ref="C102" r:id="rId203" display="http://reliability.mot.com/ALTV4/Reports/ALTTestReport_Functional.aspx?Test_Seqno=WH130133" xr:uid="{00000000-0004-0000-0300-0000CA000000}"/>
    <hyperlink ref="T102" r:id="rId204" display="http://100.65.83.171/ReportServer/Pages/ReportViewer.aspx?%2fgALT_V3_Reports%2fAll+Failure+Info+Export&amp;rs:Command=Render&amp;rc:Parameters=False&amp;Test_Seqno=WH130133" xr:uid="{00000000-0004-0000-0300-0000CB000000}"/>
    <hyperlink ref="C103" r:id="rId205" display="http://reliability.mot.com/ALTV4/Reports/ALTTestReport_Functional.aspx?Test_Seqno=WH130055" xr:uid="{00000000-0004-0000-0300-0000CC000000}"/>
    <hyperlink ref="T103" r:id="rId206" display="http://100.65.83.171/ReportServer/Pages/ReportViewer.aspx?%2fgALT_V3_Reports%2fAll+Failure+Info+Export&amp;rs:Command=Render&amp;rc:Parameters=False&amp;Test_Seqno=WH130055" xr:uid="{00000000-0004-0000-0300-0000CD000000}"/>
    <hyperlink ref="C104" r:id="rId207" display="http://reliability.mot.com/ALTV4/Reports/ALTTestReport_Functional.aspx?Test_Seqno=WH130054" xr:uid="{00000000-0004-0000-0300-0000CE000000}"/>
    <hyperlink ref="T104" r:id="rId208" display="http://100.65.83.171/ReportServer/Pages/ReportViewer.aspx?%2fgALT_V3_Reports%2fAll+Failure+Info+Export&amp;rs:Command=Render&amp;rc:Parameters=False&amp;Test_Seqno=WH130054" xr:uid="{00000000-0004-0000-0300-0000CF000000}"/>
    <hyperlink ref="C105" r:id="rId209" display="http://reliability.mot.com/ALTV4/Reports/ALTTestReport_Functional.aspx?Test_Seqno=RF129982" xr:uid="{00000000-0004-0000-0300-0000D0000000}"/>
    <hyperlink ref="T105" r:id="rId210" display="http://100.65.83.171/ReportServer/Pages/ReportViewer.aspx?%2fgALT_V3_Reports%2fAll+Failure+Info+Export&amp;rs:Command=Render&amp;rc:Parameters=False&amp;Test_Seqno=RF129982" xr:uid="{00000000-0004-0000-0300-0000D1000000}"/>
    <hyperlink ref="C106" r:id="rId211" display="http://reliability.mot.com/ALTV4/Reports/ALTTestReport_Functional.aspx?Test_Seqno=WH129909" xr:uid="{00000000-0004-0000-0300-0000D2000000}"/>
    <hyperlink ref="T106" r:id="rId212" display="http://100.65.83.171/ReportServer/Pages/ReportViewer.aspx?%2fgALT_V3_Reports%2fAll+Failure+Info+Export&amp;rs:Command=Render&amp;rc:Parameters=False&amp;Test_Seqno=WH129909" xr:uid="{00000000-0004-0000-0300-0000D3000000}"/>
    <hyperlink ref="C107" r:id="rId213" display="http://reliability.mot.com/ALTV4/Reports/ALTTestReport_Functional.aspx?Test_Seqno=WH129908" xr:uid="{00000000-0004-0000-0300-0000D4000000}"/>
    <hyperlink ref="T107" r:id="rId214" display="http://100.65.83.171/ReportServer/Pages/ReportViewer.aspx?%2fgALT_V3_Reports%2fAll+Failure+Info+Export&amp;rs:Command=Render&amp;rc:Parameters=False&amp;Test_Seqno=WH129908" xr:uid="{00000000-0004-0000-0300-0000D5000000}"/>
    <hyperlink ref="C108" r:id="rId215" display="http://reliability.mot.com/ALTV4/Reports/ALTTestReport_Functional.aspx?Test_Seqno=WH129814" xr:uid="{00000000-0004-0000-0300-0000D6000000}"/>
    <hyperlink ref="T108" r:id="rId216" display="http://100.65.83.171/ReportServer/Pages/ReportViewer.aspx?%2fgALT_V3_Reports%2fAll+Failure+Info+Export&amp;rs:Command=Render&amp;rc:Parameters=False&amp;Test_Seqno=WH129814" xr:uid="{00000000-0004-0000-0300-0000D7000000}"/>
    <hyperlink ref="C109" r:id="rId217" display="http://reliability.mot.com/ALTV4/Reports/ALTTestReport_Functional.aspx?Test_Seqno=WH129749" xr:uid="{00000000-0004-0000-0300-0000D8000000}"/>
    <hyperlink ref="T109" r:id="rId218" display="http://100.65.83.171/ReportServer/Pages/ReportViewer.aspx?%2fgALT_V3_Reports%2fAll+Failure+Info+Export&amp;rs:Command=Render&amp;rc:Parameters=False&amp;Test_Seqno=WH129749" xr:uid="{00000000-0004-0000-0300-0000D9000000}"/>
    <hyperlink ref="C110" r:id="rId219" display="http://reliability.mot.com/ALTV4/Reports/ALTTestReport_Functional.aspx?Test_Seqno=WH129744" xr:uid="{00000000-0004-0000-0300-0000DA000000}"/>
    <hyperlink ref="T110" r:id="rId220" display="http://100.65.83.171/ReportServer/Pages/ReportViewer.aspx?%2fgALT_V3_Reports%2fAll+Failure+Info+Export&amp;rs:Command=Render&amp;rc:Parameters=False&amp;Test_Seqno=WH129744" xr:uid="{00000000-0004-0000-0300-0000DB000000}"/>
    <hyperlink ref="C111" r:id="rId221" display="http://reliability.mot.com/ALTV4/Reports/ALTTestReport_Functional.aspx?Test_Seqno=RF129737" xr:uid="{00000000-0004-0000-0300-0000DC000000}"/>
    <hyperlink ref="T111" r:id="rId222" display="http://100.65.83.171/ReportServer/Pages/ReportViewer.aspx?%2fgALT_V3_Reports%2fAll+Failure+Info+Export&amp;rs:Command=Render&amp;rc:Parameters=False&amp;Test_Seqno=RF129737" xr:uid="{00000000-0004-0000-0300-0000DD000000}"/>
    <hyperlink ref="C112" r:id="rId223" display="http://reliability.mot.com/ALTV4/Reports/ALTTestReport_Functional.aspx?Test_Seqno=WH129717" xr:uid="{00000000-0004-0000-0300-0000DE000000}"/>
    <hyperlink ref="T112" r:id="rId224" display="http://100.65.83.171/ReportServer/Pages/ReportViewer.aspx?%2fgALT_V3_Reports%2fAll+Failure+Info+Export&amp;rs:Command=Render&amp;rc:Parameters=False&amp;Test_Seqno=WH129717" xr:uid="{00000000-0004-0000-0300-0000DF000000}"/>
    <hyperlink ref="C113" r:id="rId225" display="http://reliability.mot.com/ALTV4/Reports/ALTTestReport_Functional.aspx?Test_Seqno=WH129704" xr:uid="{00000000-0004-0000-0300-0000E0000000}"/>
    <hyperlink ref="T113" r:id="rId226" display="http://100.65.83.171/ReportServer/Pages/ReportViewer.aspx?%2fgALT_V3_Reports%2fAll+Failure+Info+Export&amp;rs:Command=Render&amp;rc:Parameters=False&amp;Test_Seqno=WH129704" xr:uid="{00000000-0004-0000-0300-0000E1000000}"/>
    <hyperlink ref="C114" r:id="rId227" display="http://reliability.mot.com/ALTV4/Reports/ALTTestReport_Functional.aspx?Test_Seqno=RF129682" xr:uid="{00000000-0004-0000-0300-0000E2000000}"/>
    <hyperlink ref="T114" r:id="rId228" display="http://100.65.83.171/ReportServer/Pages/ReportViewer.aspx?%2fgALT_V3_Reports%2fAll+Failure+Info+Export&amp;rs:Command=Render&amp;rc:Parameters=False&amp;Test_Seqno=RF129682" xr:uid="{00000000-0004-0000-0300-0000E3000000}"/>
    <hyperlink ref="C115" r:id="rId229" display="http://reliability.mot.com/ALTV4/Reports/ALTTestReport_Functional.aspx?Test_Seqno=WH129679" xr:uid="{00000000-0004-0000-0300-0000E4000000}"/>
    <hyperlink ref="T115" r:id="rId230" display="http://100.65.83.171/ReportServer/Pages/ReportViewer.aspx?%2fgALT_V3_Reports%2fAll+Failure+Info+Export&amp;rs:Command=Render&amp;rc:Parameters=False&amp;Test_Seqno=WH129679" xr:uid="{00000000-0004-0000-0300-0000E5000000}"/>
    <hyperlink ref="C116" r:id="rId231" display="http://reliability.mot.com/ALTV4/Reports/ALTTestReport_Functional.aspx?Test_Seqno=WH129641" xr:uid="{00000000-0004-0000-0300-0000E6000000}"/>
    <hyperlink ref="T116" r:id="rId232" display="http://100.65.83.171/ReportServer/Pages/ReportViewer.aspx?%2fgALT_V3_Reports%2fAll+Failure+Info+Export&amp;rs:Command=Render&amp;rc:Parameters=False&amp;Test_Seqno=WH129641" xr:uid="{00000000-0004-0000-0300-0000E7000000}"/>
    <hyperlink ref="C117" r:id="rId233" display="http://reliability.mot.com/ALTV4/Reports/ALTTestReport_Functional.aspx?Test_Seqno=WH129562" xr:uid="{00000000-0004-0000-0300-0000E8000000}"/>
    <hyperlink ref="T117" r:id="rId234" display="http://100.65.83.171/ReportServer/Pages/ReportViewer.aspx?%2fgALT_V3_Reports%2fAll+Failure+Info+Export&amp;rs:Command=Render&amp;rc:Parameters=False&amp;Test_Seqno=WH129562" xr:uid="{00000000-0004-0000-0300-0000E9000000}"/>
    <hyperlink ref="C118" r:id="rId235" display="http://reliability.mot.com/ALTV4/Reports/ALTTestReport_Functional.aspx?Test_Seqno=WH129561" xr:uid="{00000000-0004-0000-0300-0000EA000000}"/>
    <hyperlink ref="T118" r:id="rId236" display="http://100.65.83.171/ReportServer/Pages/ReportViewer.aspx?%2fgALT_V3_Reports%2fAll+Failure+Info+Export&amp;rs:Command=Render&amp;rc:Parameters=False&amp;Test_Seqno=WH129561" xr:uid="{00000000-0004-0000-0300-0000EB000000}"/>
    <hyperlink ref="C119" r:id="rId237" display="http://reliability.mot.com/ALTV4/Reports/ALTTestReport_Functional.aspx?Test_Seqno=WH129560" xr:uid="{00000000-0004-0000-0300-0000EC000000}"/>
    <hyperlink ref="T119" r:id="rId238" display="http://100.65.83.171/ReportServer/Pages/ReportViewer.aspx?%2fgALT_V3_Reports%2fAll+Failure+Info+Export&amp;rs:Command=Render&amp;rc:Parameters=False&amp;Test_Seqno=WH129560" xr:uid="{00000000-0004-0000-0300-0000ED000000}"/>
    <hyperlink ref="C120" r:id="rId239" display="http://reliability.mot.com/ALTV4/Reports/ALTTestReport_Functional.aspx?Test_Seqno=RF129514" xr:uid="{00000000-0004-0000-0300-0000EE000000}"/>
    <hyperlink ref="T120" r:id="rId240" display="http://100.65.83.171/ReportServer/Pages/ReportViewer.aspx?%2fgALT_V3_Reports%2fAll+Failure+Info+Export&amp;rs:Command=Render&amp;rc:Parameters=False&amp;Test_Seqno=RF129514" xr:uid="{00000000-0004-0000-0300-0000EF000000}"/>
    <hyperlink ref="C121" r:id="rId241" display="http://reliability.mot.com/ALTV4/Reports/ALTTestReport_Functional.aspx?Test_Seqno=WH129487" xr:uid="{00000000-0004-0000-0300-0000F0000000}"/>
    <hyperlink ref="T121" r:id="rId242" display="http://100.65.83.171/ReportServer/Pages/ReportViewer.aspx?%2fgALT_V3_Reports%2fAll+Failure+Info+Export&amp;rs:Command=Render&amp;rc:Parameters=False&amp;Test_Seqno=WH129487" xr:uid="{00000000-0004-0000-0300-0000F1000000}"/>
    <hyperlink ref="C122" r:id="rId243" display="http://reliability.mot.com/ALTV4/Reports/ALTTestReport_Functional.aspx?Test_Seqno=WH129486" xr:uid="{00000000-0004-0000-0300-0000F2000000}"/>
    <hyperlink ref="T122" r:id="rId244" display="http://100.65.83.171/ReportServer/Pages/ReportViewer.aspx?%2fgALT_V3_Reports%2fAll+Failure+Info+Export&amp;rs:Command=Render&amp;rc:Parameters=False&amp;Test_Seqno=WH129486" xr:uid="{00000000-0004-0000-0300-0000F3000000}"/>
    <hyperlink ref="C123" r:id="rId245" display="http://reliability.mot.com/ALTV4/Reports/ALTTestReport_Functional.aspx?Test_Seqno=WH129485" xr:uid="{00000000-0004-0000-0300-0000F4000000}"/>
    <hyperlink ref="T123" r:id="rId246" display="http://100.65.83.171/ReportServer/Pages/ReportViewer.aspx?%2fgALT_V3_Reports%2fAll+Failure+Info+Export&amp;rs:Command=Render&amp;rc:Parameters=False&amp;Test_Seqno=WH129485" xr:uid="{00000000-0004-0000-0300-0000F5000000}"/>
    <hyperlink ref="C124" r:id="rId247" display="http://reliability.mot.com/ALTV4/Reports/ALTTestReport_Functional.aspx?Test_Seqno=WH129483" xr:uid="{00000000-0004-0000-0300-0000F6000000}"/>
    <hyperlink ref="T124" r:id="rId248" display="http://100.65.83.171/ReportServer/Pages/ReportViewer.aspx?%2fgALT_V3_Reports%2fAll+Failure+Info+Export&amp;rs:Command=Render&amp;rc:Parameters=False&amp;Test_Seqno=WH129483" xr:uid="{00000000-0004-0000-0300-0000F7000000}"/>
    <hyperlink ref="C125" r:id="rId249" display="http://reliability.mot.com/ALTV4/Reports/ALTTestReport_Functional.aspx?Test_Seqno=WH129464" xr:uid="{00000000-0004-0000-0300-0000F8000000}"/>
    <hyperlink ref="T125" r:id="rId250" display="http://100.65.83.171/ReportServer/Pages/ReportViewer.aspx?%2fgALT_V3_Reports%2fAll+Failure+Info+Export&amp;rs:Command=Render&amp;rc:Parameters=False&amp;Test_Seqno=WH129464" xr:uid="{00000000-0004-0000-0300-0000F9000000}"/>
    <hyperlink ref="C126" r:id="rId251" display="http://reliability.mot.com/ALTV4/Reports/ALTTestReport_Functional.aspx?Test_Seqno=WH129403" xr:uid="{00000000-0004-0000-0300-0000FA000000}"/>
    <hyperlink ref="T126" r:id="rId252" display="http://100.65.83.171/ReportServer/Pages/ReportViewer.aspx?%2fgALT_V3_Reports%2fAll+Failure+Info+Export&amp;rs:Command=Render&amp;rc:Parameters=False&amp;Test_Seqno=WH129403" xr:uid="{00000000-0004-0000-0300-0000FB000000}"/>
    <hyperlink ref="C127" r:id="rId253" display="http://reliability.mot.com/ALTV4/Reports/ALTTestReport_Functional.aspx?Test_Seqno=WH129269" xr:uid="{00000000-0004-0000-0300-0000FC000000}"/>
    <hyperlink ref="T127" r:id="rId254" display="http://100.65.83.171/ReportServer/Pages/ReportViewer.aspx?%2fgALT_V3_Reports%2fAll+Failure+Info+Export&amp;rs:Command=Render&amp;rc:Parameters=False&amp;Test_Seqno=WH129269" xr:uid="{00000000-0004-0000-0300-0000FD000000}"/>
    <hyperlink ref="C128" r:id="rId255" display="http://reliability.mot.com/ALTV4/Reports/ALTTestReport_Functional.aspx?Test_Seqno=WH129268" xr:uid="{00000000-0004-0000-0300-0000FE000000}"/>
    <hyperlink ref="T128" r:id="rId256" display="http://100.65.83.171/ReportServer/Pages/ReportViewer.aspx?%2fgALT_V3_Reports%2fAll+Failure+Info+Export&amp;rs:Command=Render&amp;rc:Parameters=False&amp;Test_Seqno=WH129268" xr:uid="{00000000-0004-0000-0300-0000FF000000}"/>
    <hyperlink ref="C129" r:id="rId257" display="http://reliability.mot.com/ALTV4/Reports/ALTTestReport_Functional.aspx?Test_Seqno=RF129251" xr:uid="{00000000-0004-0000-0300-000000010000}"/>
    <hyperlink ref="T129" r:id="rId258" display="http://100.65.83.171/ReportServer/Pages/ReportViewer.aspx?%2fgALT_V3_Reports%2fAll+Failure+Info+Export&amp;rs:Command=Render&amp;rc:Parameters=False&amp;Test_Seqno=RF129251" xr:uid="{00000000-0004-0000-0300-000001010000}"/>
    <hyperlink ref="C130" r:id="rId259" display="http://reliability.mot.com/ALTV4/Reports/ALTTestReport_Functional.aspx?Test_Seqno=RF129249" xr:uid="{00000000-0004-0000-0300-000002010000}"/>
    <hyperlink ref="T130" r:id="rId260" display="http://100.65.83.171/ReportServer/Pages/ReportViewer.aspx?%2fgALT_V3_Reports%2fAll+Failure+Info+Export&amp;rs:Command=Render&amp;rc:Parameters=False&amp;Test_Seqno=RF129249" xr:uid="{00000000-0004-0000-0300-000003010000}"/>
    <hyperlink ref="C131" r:id="rId261" display="http://reliability.mot.com/ALTV4/Reports/ALTTestReport_Functional.aspx?Test_Seqno=WH129217" xr:uid="{00000000-0004-0000-0300-000004010000}"/>
    <hyperlink ref="T131" r:id="rId262" display="http://100.65.83.171/ReportServer/Pages/ReportViewer.aspx?%2fgALT_V3_Reports%2fAll+Failure+Info+Export&amp;rs:Command=Render&amp;rc:Parameters=False&amp;Test_Seqno=WH129217" xr:uid="{00000000-0004-0000-0300-000005010000}"/>
    <hyperlink ref="C132" r:id="rId263" display="http://reliability.mot.com/ALTV4/Reports/ALTTestReport_Functional.aspx?Test_Seqno=WH129216" xr:uid="{00000000-0004-0000-0300-000006010000}"/>
    <hyperlink ref="T132" r:id="rId264" display="http://100.65.83.171/ReportServer/Pages/ReportViewer.aspx?%2fgALT_V3_Reports%2fAll+Failure+Info+Export&amp;rs:Command=Render&amp;rc:Parameters=False&amp;Test_Seqno=WH129216" xr:uid="{00000000-0004-0000-0300-000007010000}"/>
    <hyperlink ref="C133" r:id="rId265" display="http://reliability.mot.com/ALTV4/Reports/ALTTestReport_Functional.aspx?Test_Seqno=WH129215" xr:uid="{00000000-0004-0000-0300-000008010000}"/>
    <hyperlink ref="T133" r:id="rId266" display="http://100.65.83.171/ReportServer/Pages/ReportViewer.aspx?%2fgALT_V3_Reports%2fAll+Failure+Info+Export&amp;rs:Command=Render&amp;rc:Parameters=False&amp;Test_Seqno=WH129215" xr:uid="{00000000-0004-0000-0300-000009010000}"/>
    <hyperlink ref="C134" r:id="rId267" display="http://reliability.mot.com/ALTV4/Reports/ALTTestReport_Functional.aspx?Test_Seqno=WH129209" xr:uid="{00000000-0004-0000-0300-00000A010000}"/>
    <hyperlink ref="T134" r:id="rId268" display="http://100.65.83.171/ReportServer/Pages/ReportViewer.aspx?%2fgALT_V3_Reports%2fAll+Failure+Info+Export&amp;rs:Command=Render&amp;rc:Parameters=False&amp;Test_Seqno=WH129209" xr:uid="{00000000-0004-0000-0300-00000B010000}"/>
    <hyperlink ref="C135" r:id="rId269" display="http://reliability.mot.com/ALTV4/Reports/ALTTestReport_Functional.aspx?Test_Seqno=WH129168" xr:uid="{00000000-0004-0000-0300-00000C010000}"/>
    <hyperlink ref="T135" r:id="rId270" display="http://100.65.83.171/ReportServer/Pages/ReportViewer.aspx?%2fgALT_V3_Reports%2fAll+Failure+Info+Export&amp;rs:Command=Render&amp;rc:Parameters=False&amp;Test_Seqno=WH129168" xr:uid="{00000000-0004-0000-0300-00000D010000}"/>
    <hyperlink ref="C136" r:id="rId271" display="http://reliability.mot.com/ALTV4/Reports/ALTTestReport_Functional.aspx?Test_Seqno=WH129159" xr:uid="{00000000-0004-0000-0300-00000E010000}"/>
    <hyperlink ref="T136" r:id="rId272" display="http://100.65.83.171/ReportServer/Pages/ReportViewer.aspx?%2fgALT_V3_Reports%2fAll+Failure+Info+Export&amp;rs:Command=Render&amp;rc:Parameters=False&amp;Test_Seqno=WH129159" xr:uid="{00000000-0004-0000-0300-00000F010000}"/>
    <hyperlink ref="C137" r:id="rId273" display="http://reliability.mot.com/ALTV4/Reports/ALTTestReport_Functional.aspx?Test_Seqno=WH129158" xr:uid="{00000000-0004-0000-0300-000010010000}"/>
    <hyperlink ref="T137" r:id="rId274" display="http://100.65.83.171/ReportServer/Pages/ReportViewer.aspx?%2fgALT_V3_Reports%2fAll+Failure+Info+Export&amp;rs:Command=Render&amp;rc:Parameters=False&amp;Test_Seqno=WH129158" xr:uid="{00000000-0004-0000-0300-000011010000}"/>
    <hyperlink ref="C138" r:id="rId275" display="http://reliability.mot.com/ALTV4/Reports/ALTTestReport_Functional.aspx?Test_Seqno=WH128911" xr:uid="{00000000-0004-0000-0300-000012010000}"/>
    <hyperlink ref="T138" r:id="rId276" display="http://100.65.83.171/ReportServer/Pages/ReportViewer.aspx?%2fgALT_V3_Reports%2fAll+Failure+Info+Export&amp;rs:Command=Render&amp;rc:Parameters=False&amp;Test_Seqno=WH128911" xr:uid="{00000000-0004-0000-0300-000013010000}"/>
    <hyperlink ref="C139" r:id="rId277" display="http://reliability.mot.com/ALTV4/Reports/ALTTestReport_Functional.aspx?Test_Seqno=WH128895" xr:uid="{00000000-0004-0000-0300-000014010000}"/>
    <hyperlink ref="T139" r:id="rId278" display="http://100.65.83.171/ReportServer/Pages/ReportViewer.aspx?%2fgALT_V3_Reports%2fAll+Failure+Info+Export&amp;rs:Command=Render&amp;rc:Parameters=False&amp;Test_Seqno=WH128895" xr:uid="{00000000-0004-0000-0300-000015010000}"/>
    <hyperlink ref="C140" r:id="rId279" display="http://reliability.mot.com/ALTV4/Reports/ALTTestReport_Functional.aspx?Test_Seqno=WH128836" xr:uid="{00000000-0004-0000-0300-000016010000}"/>
    <hyperlink ref="T140" r:id="rId280" display="http://100.65.83.171/ReportServer/Pages/ReportViewer.aspx?%2fgALT_V3_Reports%2fAll+Failure+Info+Export&amp;rs:Command=Render&amp;rc:Parameters=False&amp;Test_Seqno=WH128836" xr:uid="{00000000-0004-0000-0300-000017010000}"/>
    <hyperlink ref="C141" r:id="rId281" display="http://reliability.mot.com/ALTV4/Reports/ALTTestReport_Functional.aspx?Test_Seqno=WH128803" xr:uid="{00000000-0004-0000-0300-000018010000}"/>
    <hyperlink ref="T141" r:id="rId282" display="http://100.65.83.171/ReportServer/Pages/ReportViewer.aspx?%2fgALT_V3_Reports%2fAll+Failure+Info+Export&amp;rs:Command=Render&amp;rc:Parameters=False&amp;Test_Seqno=WH128803" xr:uid="{00000000-0004-0000-0300-000019010000}"/>
    <hyperlink ref="C142" r:id="rId283" display="http://reliability.mot.com/ALTV4/Reports/ALTTestReport_Functional.aspx?Test_Seqno=WH128741" xr:uid="{00000000-0004-0000-0300-00001A010000}"/>
    <hyperlink ref="T142" r:id="rId284" display="http://100.65.83.171/ReportServer/Pages/ReportViewer.aspx?%2fgALT_V3_Reports%2fAll+Failure+Info+Export&amp;rs:Command=Render&amp;rc:Parameters=False&amp;Test_Seqno=WH128741" xr:uid="{00000000-0004-0000-0300-00001B010000}"/>
    <hyperlink ref="C143" r:id="rId285" display="http://reliability.mot.com/ALTV4/Reports/ALTTestReport_Functional.aspx?Test_Seqno=WH128683" xr:uid="{00000000-0004-0000-0300-00001C010000}"/>
    <hyperlink ref="T143" r:id="rId286" display="http://100.65.83.171/ReportServer/Pages/ReportViewer.aspx?%2fgALT_V3_Reports%2fAll+Failure+Info+Export&amp;rs:Command=Render&amp;rc:Parameters=False&amp;Test_Seqno=WH128683" xr:uid="{00000000-0004-0000-0300-00001D010000}"/>
    <hyperlink ref="C144" r:id="rId287" display="http://reliability.mot.com/ALTV4/Reports/ALTTestReport_Functional.aspx?Test_Seqno=RF128648" xr:uid="{00000000-0004-0000-0300-00001E010000}"/>
    <hyperlink ref="T144" r:id="rId288" display="http://100.65.83.171/ReportServer/Pages/ReportViewer.aspx?%2fgALT_V3_Reports%2fAll+Failure+Info+Export&amp;rs:Command=Render&amp;rc:Parameters=False&amp;Test_Seqno=RF128648" xr:uid="{00000000-0004-0000-0300-00001F010000}"/>
    <hyperlink ref="C145" r:id="rId289" display="http://reliability.mot.com/ALTV4/Reports/ALTTestReport_Functional.aspx?Test_Seqno=WH128597" xr:uid="{00000000-0004-0000-0300-000020010000}"/>
    <hyperlink ref="T145" r:id="rId290" display="http://100.65.83.171/ReportServer/Pages/ReportViewer.aspx?%2fgALT_V3_Reports%2fAll+Failure+Info+Export&amp;rs:Command=Render&amp;rc:Parameters=False&amp;Test_Seqno=WH128597" xr:uid="{00000000-0004-0000-0300-000021010000}"/>
    <hyperlink ref="C146" r:id="rId291" display="http://reliability.mot.com/ALTV4/Reports/ALTTestReport_Functional.aspx?Test_Seqno=WH128564" xr:uid="{00000000-0004-0000-0300-000022010000}"/>
    <hyperlink ref="T146" r:id="rId292" display="http://100.65.83.171/ReportServer/Pages/ReportViewer.aspx?%2fgALT_V3_Reports%2fAll+Failure+Info+Export&amp;rs:Command=Render&amp;rc:Parameters=False&amp;Test_Seqno=WH128564" xr:uid="{00000000-0004-0000-0300-000023010000}"/>
    <hyperlink ref="C147" r:id="rId293" display="http://reliability.mot.com/ALTV4/Reports/ALTTestReport_Functional.aspx?Test_Seqno=WH128510" xr:uid="{00000000-0004-0000-0300-000024010000}"/>
    <hyperlink ref="T147" r:id="rId294" display="http://100.65.83.171/ReportServer/Pages/ReportViewer.aspx?%2fgALT_V3_Reports%2fAll+Failure+Info+Export&amp;rs:Command=Render&amp;rc:Parameters=False&amp;Test_Seqno=WH128510" xr:uid="{00000000-0004-0000-0300-000025010000}"/>
    <hyperlink ref="C148" r:id="rId295" display="http://reliability.mot.com/ALTV4/Reports/ALTTestReport_Functional.aspx?Test_Seqno=WH128509" xr:uid="{00000000-0004-0000-0300-000026010000}"/>
    <hyperlink ref="T148" r:id="rId296" display="http://100.65.83.171/ReportServer/Pages/ReportViewer.aspx?%2fgALT_V3_Reports%2fAll+Failure+Info+Export&amp;rs:Command=Render&amp;rc:Parameters=False&amp;Test_Seqno=WH128509" xr:uid="{00000000-0004-0000-0300-000027010000}"/>
    <hyperlink ref="C149" r:id="rId297" display="http://reliability.mot.com/ALTV4/Reports/ALTTestReport_Functional.aspx?Test_Seqno=WH128494" xr:uid="{00000000-0004-0000-0300-000028010000}"/>
    <hyperlink ref="T149" r:id="rId298" display="http://100.65.83.171/ReportServer/Pages/ReportViewer.aspx?%2fgALT_V3_Reports%2fAll+Failure+Info+Export&amp;rs:Command=Render&amp;rc:Parameters=False&amp;Test_Seqno=WH128494" xr:uid="{00000000-0004-0000-0300-000029010000}"/>
    <hyperlink ref="C150" r:id="rId299" display="http://reliability.mot.com/ALTV4/Reports/ALTTestReport_Functional.aspx?Test_Seqno=WH128493" xr:uid="{00000000-0004-0000-0300-00002A010000}"/>
    <hyperlink ref="T150" r:id="rId300" display="http://100.65.83.171/ReportServer/Pages/ReportViewer.aspx?%2fgALT_V3_Reports%2fAll+Failure+Info+Export&amp;rs:Command=Render&amp;rc:Parameters=False&amp;Test_Seqno=WH128493" xr:uid="{00000000-0004-0000-0300-00002B010000}"/>
    <hyperlink ref="C151" r:id="rId301" display="http://reliability.mot.com/ALTV4/Reports/ALTTestReport_Functional.aspx?Test_Seqno=WH128488" xr:uid="{00000000-0004-0000-0300-00002C010000}"/>
    <hyperlink ref="T151" r:id="rId302" display="http://100.65.83.171/ReportServer/Pages/ReportViewer.aspx?%2fgALT_V3_Reports%2fAll+Failure+Info+Export&amp;rs:Command=Render&amp;rc:Parameters=False&amp;Test_Seqno=WH128488" xr:uid="{00000000-0004-0000-0300-00002D010000}"/>
    <hyperlink ref="C152" r:id="rId303" display="http://reliability.mot.com/ALTV4/Reports/ALTTestReport_Functional.aspx?Test_Seqno=WH128487" xr:uid="{00000000-0004-0000-0300-00002E010000}"/>
    <hyperlink ref="T152" r:id="rId304" display="http://100.65.83.171/ReportServer/Pages/ReportViewer.aspx?%2fgALT_V3_Reports%2fAll+Failure+Info+Export&amp;rs:Command=Render&amp;rc:Parameters=False&amp;Test_Seqno=WH128487" xr:uid="{00000000-0004-0000-0300-00002F010000}"/>
    <hyperlink ref="C153" r:id="rId305" display="http://reliability.mot.com/ALTV4/Reports/ALTTestReport_Functional.aspx?Test_Seqno=RF128484" xr:uid="{00000000-0004-0000-0300-000030010000}"/>
    <hyperlink ref="T153" r:id="rId306" display="http://100.65.83.171/ReportServer/Pages/ReportViewer.aspx?%2fgALT_V3_Reports%2fAll+Failure+Info+Export&amp;rs:Command=Render&amp;rc:Parameters=False&amp;Test_Seqno=RF128484" xr:uid="{00000000-0004-0000-0300-000031010000}"/>
    <hyperlink ref="C154" r:id="rId307" display="http://reliability.mot.com/ALTV4/Reports/ALTTestReport_Functional.aspx?Test_Seqno=RF128453" xr:uid="{00000000-0004-0000-0300-000032010000}"/>
    <hyperlink ref="T154" r:id="rId308" display="http://100.65.83.171/ReportServer/Pages/ReportViewer.aspx?%2fgALT_V3_Reports%2fAll+Failure+Info+Export&amp;rs:Command=Render&amp;rc:Parameters=False&amp;Test_Seqno=RF128453" xr:uid="{00000000-0004-0000-0300-000033010000}"/>
    <hyperlink ref="C155" r:id="rId309" display="http://reliability.mot.com/ALTV4/Reports/ALTTestReport_Functional.aspx?Test_Seqno=RF128452" xr:uid="{00000000-0004-0000-0300-000034010000}"/>
    <hyperlink ref="T155" r:id="rId310" display="http://100.65.83.171/ReportServer/Pages/ReportViewer.aspx?%2fgALT_V3_Reports%2fAll+Failure+Info+Export&amp;rs:Command=Render&amp;rc:Parameters=False&amp;Test_Seqno=RF128452" xr:uid="{00000000-0004-0000-0300-000035010000}"/>
    <hyperlink ref="C156" r:id="rId311" display="http://reliability.mot.com/ALTV4/Reports/ALTTestReport_Functional.aspx?Test_Seqno=RF128451" xr:uid="{00000000-0004-0000-0300-000036010000}"/>
    <hyperlink ref="T156" r:id="rId312" display="http://100.65.83.171/ReportServer/Pages/ReportViewer.aspx?%2fgALT_V3_Reports%2fAll+Failure+Info+Export&amp;rs:Command=Render&amp;rc:Parameters=False&amp;Test_Seqno=RF128451" xr:uid="{00000000-0004-0000-0300-000037010000}"/>
    <hyperlink ref="C157" r:id="rId313" display="http://reliability.mot.com/ALTV4/Reports/ALTTestReport_Functional.aspx?Test_Seqno=WH128419" xr:uid="{00000000-0004-0000-0300-000038010000}"/>
    <hyperlink ref="T157" r:id="rId314" display="http://100.65.83.171/ReportServer/Pages/ReportViewer.aspx?%2fgALT_V3_Reports%2fAll+Failure+Info+Export&amp;rs:Command=Render&amp;rc:Parameters=False&amp;Test_Seqno=WH128419" xr:uid="{00000000-0004-0000-0300-000039010000}"/>
    <hyperlink ref="C158" r:id="rId315" display="http://reliability.mot.com/ALTV4/Reports/ALTTestReport_Functional.aspx?Test_Seqno=WH128418" xr:uid="{00000000-0004-0000-0300-00003A010000}"/>
    <hyperlink ref="T158" r:id="rId316" display="http://100.65.83.171/ReportServer/Pages/ReportViewer.aspx?%2fgALT_V3_Reports%2fAll+Failure+Info+Export&amp;rs:Command=Render&amp;rc:Parameters=False&amp;Test_Seqno=WH128418" xr:uid="{00000000-0004-0000-0300-00003B010000}"/>
    <hyperlink ref="C159" r:id="rId317" display="http://reliability.mot.com/ALTV4/Reports/ALTTestReport_Functional.aspx?Test_Seqno=WH128416" xr:uid="{00000000-0004-0000-0300-00003C010000}"/>
    <hyperlink ref="T159" r:id="rId318" display="http://100.65.83.171/ReportServer/Pages/ReportViewer.aspx?%2fgALT_V3_Reports%2fAll+Failure+Info+Export&amp;rs:Command=Render&amp;rc:Parameters=False&amp;Test_Seqno=WH128416" xr:uid="{00000000-0004-0000-0300-00003D010000}"/>
    <hyperlink ref="C160" r:id="rId319" display="http://reliability.mot.com/ALTV4/Reports/ALTTestReport_Functional.aspx?Test_Seqno=WH128415" xr:uid="{00000000-0004-0000-0300-00003E010000}"/>
    <hyperlink ref="T160" r:id="rId320" display="http://100.65.83.171/ReportServer/Pages/ReportViewer.aspx?%2fgALT_V3_Reports%2fAll+Failure+Info+Export&amp;rs:Command=Render&amp;rc:Parameters=False&amp;Test_Seqno=WH128415" xr:uid="{00000000-0004-0000-0300-00003F010000}"/>
    <hyperlink ref="C161" r:id="rId321" display="http://reliability.mot.com/ALTV4/Reports/ALTTestReport_Functional.aspx?Test_Seqno=WH128303" xr:uid="{00000000-0004-0000-0300-000040010000}"/>
    <hyperlink ref="T161" r:id="rId322" display="http://100.65.83.171/ReportServer/Pages/ReportViewer.aspx?%2fgALT_V3_Reports%2fAll+Failure+Info+Export&amp;rs:Command=Render&amp;rc:Parameters=False&amp;Test_Seqno=WH128303" xr:uid="{00000000-0004-0000-0300-000041010000}"/>
    <hyperlink ref="C162" r:id="rId323" display="http://reliability.mot.com/ALTV4/Reports/ALTTestReport_Functional.aspx?Test_Seqno=WH128302" xr:uid="{00000000-0004-0000-0300-000042010000}"/>
    <hyperlink ref="T162" r:id="rId324" display="http://100.65.83.171/ReportServer/Pages/ReportViewer.aspx?%2fgALT_V3_Reports%2fAll+Failure+Info+Export&amp;rs:Command=Render&amp;rc:Parameters=False&amp;Test_Seqno=WH128302" xr:uid="{00000000-0004-0000-0300-000043010000}"/>
    <hyperlink ref="C163" r:id="rId325" display="http://reliability.mot.com/ALTV4/Reports/ALTTestReport_Functional.aspx?Test_Seqno=WH128301" xr:uid="{00000000-0004-0000-0300-000044010000}"/>
    <hyperlink ref="T163" r:id="rId326" display="http://100.65.83.171/ReportServer/Pages/ReportViewer.aspx?%2fgALT_V3_Reports%2fAll+Failure+Info+Export&amp;rs:Command=Render&amp;rc:Parameters=False&amp;Test_Seqno=WH128301" xr:uid="{00000000-0004-0000-0300-000045010000}"/>
    <hyperlink ref="C164" r:id="rId327" display="http://reliability.mot.com/ALTV4/Reports/ALTTestReport_Functional.aspx?Test_Seqno=WH128300" xr:uid="{00000000-0004-0000-0300-000046010000}"/>
    <hyperlink ref="T164" r:id="rId328" display="http://100.65.83.171/ReportServer/Pages/ReportViewer.aspx?%2fgALT_V3_Reports%2fAll+Failure+Info+Export&amp;rs:Command=Render&amp;rc:Parameters=False&amp;Test_Seqno=WH128300" xr:uid="{00000000-0004-0000-0300-000047010000}"/>
    <hyperlink ref="C165" r:id="rId329" display="http://reliability.mot.com/ALTV4/Reports/ALTTestReport_Functional.aspx?Test_Seqno=WH128299" xr:uid="{00000000-0004-0000-0300-000048010000}"/>
    <hyperlink ref="T165" r:id="rId330" display="http://100.65.83.171/ReportServer/Pages/ReportViewer.aspx?%2fgALT_V3_Reports%2fAll+Failure+Info+Export&amp;rs:Command=Render&amp;rc:Parameters=False&amp;Test_Seqno=WH128299" xr:uid="{00000000-0004-0000-0300-000049010000}"/>
    <hyperlink ref="C166" r:id="rId331" display="http://reliability.mot.com/ALTV4/Reports/ALTTestReport_Functional.aspx?Test_Seqno=WH128298" xr:uid="{00000000-0004-0000-0300-00004A010000}"/>
    <hyperlink ref="T166" r:id="rId332" display="http://100.65.83.171/ReportServer/Pages/ReportViewer.aspx?%2fgALT_V3_Reports%2fAll+Failure+Info+Export&amp;rs:Command=Render&amp;rc:Parameters=False&amp;Test_Seqno=WH128298" xr:uid="{00000000-0004-0000-0300-00004B010000}"/>
    <hyperlink ref="C167" r:id="rId333" display="http://reliability.mot.com/ALTV4/Reports/ALTTestReport_Functional.aspx?Test_Seqno=WH128297" xr:uid="{00000000-0004-0000-0300-00004C010000}"/>
    <hyperlink ref="T167" r:id="rId334" display="http://100.65.83.171/ReportServer/Pages/ReportViewer.aspx?%2fgALT_V3_Reports%2fAll+Failure+Info+Export&amp;rs:Command=Render&amp;rc:Parameters=False&amp;Test_Seqno=WH128297" xr:uid="{00000000-0004-0000-0300-00004D010000}"/>
    <hyperlink ref="C168" r:id="rId335" display="http://reliability.mot.com/ALTV4/Reports/ALTTestReport_Functional.aspx?Test_Seqno=WH128296" xr:uid="{00000000-0004-0000-0300-00004E010000}"/>
    <hyperlink ref="T168" r:id="rId336" display="http://100.65.83.171/ReportServer/Pages/ReportViewer.aspx?%2fgALT_V3_Reports%2fAll+Failure+Info+Export&amp;rs:Command=Render&amp;rc:Parameters=False&amp;Test_Seqno=WH128296" xr:uid="{00000000-0004-0000-0300-00004F010000}"/>
    <hyperlink ref="C169" r:id="rId337" display="http://reliability.mot.com/ALTV4/Reports/ALTTestReport_Functional.aspx?Test_Seqno=WH128295" xr:uid="{00000000-0004-0000-0300-000050010000}"/>
    <hyperlink ref="T169" r:id="rId338" display="http://100.65.83.171/ReportServer/Pages/ReportViewer.aspx?%2fgALT_V3_Reports%2fAll+Failure+Info+Export&amp;rs:Command=Render&amp;rc:Parameters=False&amp;Test_Seqno=WH128295" xr:uid="{00000000-0004-0000-0300-000051010000}"/>
    <hyperlink ref="C170" r:id="rId339" display="http://reliability.mot.com/ALTV4/Reports/ALTTestReport_Functional.aspx?Test_Seqno=WH128294" xr:uid="{00000000-0004-0000-0300-000052010000}"/>
    <hyperlink ref="T170" r:id="rId340" display="http://100.65.83.171/ReportServer/Pages/ReportViewer.aspx?%2fgALT_V3_Reports%2fAll+Failure+Info+Export&amp;rs:Command=Render&amp;rc:Parameters=False&amp;Test_Seqno=WH128294" xr:uid="{00000000-0004-0000-0300-000053010000}"/>
    <hyperlink ref="C171" r:id="rId341" display="http://reliability.mot.com/ALTV4/Reports/ALTTestReport_Functional.aspx?Test_Seqno=WH128284" xr:uid="{00000000-0004-0000-0300-000054010000}"/>
    <hyperlink ref="T171" r:id="rId342" display="http://100.65.83.171/ReportServer/Pages/ReportViewer.aspx?%2fgALT_V3_Reports%2fAll+Failure+Info+Export&amp;rs:Command=Render&amp;rc:Parameters=False&amp;Test_Seqno=WH128284" xr:uid="{00000000-0004-0000-0300-000055010000}"/>
    <hyperlink ref="C172" r:id="rId343" display="http://reliability.mot.com/ALTV4/Reports/ALTTestReport_Functional.aspx?Test_Seqno=WH128238" xr:uid="{00000000-0004-0000-0300-000056010000}"/>
    <hyperlink ref="T172" r:id="rId344" display="http://100.65.83.171/ReportServer/Pages/ReportViewer.aspx?%2fgALT_V3_Reports%2fAll+Failure+Info+Export&amp;rs:Command=Render&amp;rc:Parameters=False&amp;Test_Seqno=WH128238" xr:uid="{00000000-0004-0000-0300-000057010000}"/>
    <hyperlink ref="C173" r:id="rId345" display="http://reliability.mot.com/ALTV4/Reports/ALTTestReport_Functional.aspx?Test_Seqno=WH128213" xr:uid="{00000000-0004-0000-0300-000058010000}"/>
    <hyperlink ref="T173" r:id="rId346" display="http://100.65.83.171/ReportServer/Pages/ReportViewer.aspx?%2fgALT_V3_Reports%2fAll+Failure+Info+Export&amp;rs:Command=Render&amp;rc:Parameters=False&amp;Test_Seqno=WH128213" xr:uid="{00000000-0004-0000-0300-000059010000}"/>
    <hyperlink ref="C174" r:id="rId347" display="http://reliability.mot.com/ALTV4/Reports/ALTTestReport_Functional.aspx?Test_Seqno=WH128212" xr:uid="{00000000-0004-0000-0300-00005A010000}"/>
    <hyperlink ref="T174" r:id="rId348" display="http://100.65.83.171/ReportServer/Pages/ReportViewer.aspx?%2fgALT_V3_Reports%2fAll+Failure+Info+Export&amp;rs:Command=Render&amp;rc:Parameters=False&amp;Test_Seqno=WH128212" xr:uid="{00000000-0004-0000-0300-00005B010000}"/>
    <hyperlink ref="C175" r:id="rId349" display="http://reliability.mot.com/ALTV4/Reports/ALTTestReport_Functional.aspx?Test_Seqno=WH128210" xr:uid="{00000000-0004-0000-0300-00005C010000}"/>
    <hyperlink ref="T175" r:id="rId350" display="http://100.65.83.171/ReportServer/Pages/ReportViewer.aspx?%2fgALT_V3_Reports%2fAll+Failure+Info+Export&amp;rs:Command=Render&amp;rc:Parameters=False&amp;Test_Seqno=WH128210" xr:uid="{00000000-0004-0000-0300-00005D010000}"/>
    <hyperlink ref="C176" r:id="rId351" display="http://reliability.mot.com/ALTV4/Reports/ALTTestReport_Functional.aspx?Test_Seqno=WH128209" xr:uid="{00000000-0004-0000-0300-00005E010000}"/>
    <hyperlink ref="T176" r:id="rId352" display="http://100.65.83.171/ReportServer/Pages/ReportViewer.aspx?%2fgALT_V3_Reports%2fAll+Failure+Info+Export&amp;rs:Command=Render&amp;rc:Parameters=False&amp;Test_Seqno=WH128209" xr:uid="{00000000-0004-0000-0300-00005F010000}"/>
    <hyperlink ref="C177" r:id="rId353" display="http://reliability.mot.com/ALTV4/Reports/ALTTestReport_Functional.aspx?Test_Seqno=WH128208" xr:uid="{00000000-0004-0000-0300-000060010000}"/>
    <hyperlink ref="T177" r:id="rId354" display="http://100.65.83.171/ReportServer/Pages/ReportViewer.aspx?%2fgALT_V3_Reports%2fAll+Failure+Info+Export&amp;rs:Command=Render&amp;rc:Parameters=False&amp;Test_Seqno=WH128208" xr:uid="{00000000-0004-0000-0300-000061010000}"/>
    <hyperlink ref="C178" r:id="rId355" display="http://reliability.mot.com/ALTV4/Reports/ALTTestReport_Functional.aspx?Test_Seqno=WH128111" xr:uid="{00000000-0004-0000-0300-000062010000}"/>
    <hyperlink ref="T178" r:id="rId356" display="http://100.65.83.171/ReportServer/Pages/ReportViewer.aspx?%2fgALT_V3_Reports%2fAll+Failure+Info+Export&amp;rs:Command=Render&amp;rc:Parameters=False&amp;Test_Seqno=WH128111" xr:uid="{00000000-0004-0000-0300-000063010000}"/>
    <hyperlink ref="C179" r:id="rId357" display="http://reliability.mot.com/ALTV4/Reports/ALTTestReport_Functional.aspx?Test_Seqno=WH128110" xr:uid="{00000000-0004-0000-0300-000064010000}"/>
    <hyperlink ref="T179" r:id="rId358" display="http://100.65.83.171/ReportServer/Pages/ReportViewer.aspx?%2fgALT_V3_Reports%2fAll+Failure+Info+Export&amp;rs:Command=Render&amp;rc:Parameters=False&amp;Test_Seqno=WH128110" xr:uid="{00000000-0004-0000-0300-000065010000}"/>
    <hyperlink ref="C180" r:id="rId359" display="http://reliability.mot.com/ALTV4/Reports/ALTTestReport_Functional.aspx?Test_Seqno=WH128086" xr:uid="{00000000-0004-0000-0300-000066010000}"/>
    <hyperlink ref="T180" r:id="rId360" display="http://100.65.83.171/ReportServer/Pages/ReportViewer.aspx?%2fgALT_V3_Reports%2fAll+Failure+Info+Export&amp;rs:Command=Render&amp;rc:Parameters=False&amp;Test_Seqno=WH128086" xr:uid="{00000000-0004-0000-0300-000067010000}"/>
    <hyperlink ref="C181" r:id="rId361" display="http://reliability.mot.com/ALTV4/Reports/ALTTestReport_Functional.aspx?Test_Seqno=WH128085" xr:uid="{00000000-0004-0000-0300-000068010000}"/>
    <hyperlink ref="T181" r:id="rId362" display="http://100.65.83.171/ReportServer/Pages/ReportViewer.aspx?%2fgALT_V3_Reports%2fAll+Failure+Info+Export&amp;rs:Command=Render&amp;rc:Parameters=False&amp;Test_Seqno=WH128085" xr:uid="{00000000-0004-0000-0300-000069010000}"/>
    <hyperlink ref="C182" r:id="rId363" display="http://reliability.mot.com/ALTV4/Reports/ALTTestReport_Functional.aspx?Test_Seqno=WH128084" xr:uid="{00000000-0004-0000-0300-00006A010000}"/>
    <hyperlink ref="T182" r:id="rId364" display="http://100.65.83.171/ReportServer/Pages/ReportViewer.aspx?%2fgALT_V3_Reports%2fAll+Failure+Info+Export&amp;rs:Command=Render&amp;rc:Parameters=False&amp;Test_Seqno=WH128084" xr:uid="{00000000-0004-0000-0300-00006B010000}"/>
    <hyperlink ref="C183" r:id="rId365" display="http://reliability.mot.com/ALTV4/Reports/ALTTestReport_Functional.aspx?Test_Seqno=RF128083" xr:uid="{00000000-0004-0000-0300-00006C010000}"/>
    <hyperlink ref="T183" r:id="rId366" display="http://100.65.83.171/ReportServer/Pages/ReportViewer.aspx?%2fgALT_V3_Reports%2fAll+Failure+Info+Export&amp;rs:Command=Render&amp;rc:Parameters=False&amp;Test_Seqno=RF128083" xr:uid="{00000000-0004-0000-0300-00006D010000}"/>
    <hyperlink ref="C184" r:id="rId367" display="http://reliability.mot.com/ALTV4/Reports/ALTTestReport_Functional.aspx?Test_Seqno=WH128082" xr:uid="{00000000-0004-0000-0300-00006E010000}"/>
    <hyperlink ref="T184" r:id="rId368" display="http://100.65.83.171/ReportServer/Pages/ReportViewer.aspx?%2fgALT_V3_Reports%2fAll+Failure+Info+Export&amp;rs:Command=Render&amp;rc:Parameters=False&amp;Test_Seqno=WH128082" xr:uid="{00000000-0004-0000-0300-00006F010000}"/>
    <hyperlink ref="C185" r:id="rId369" display="http://reliability.mot.com/ALTV4/Reports/ALTTestReport_Functional.aspx?Test_Seqno=WH128073" xr:uid="{00000000-0004-0000-0300-000070010000}"/>
    <hyperlink ref="T185" r:id="rId370" display="http://100.65.83.171/ReportServer/Pages/ReportViewer.aspx?%2fgALT_V3_Reports%2fAll+Failure+Info+Export&amp;rs:Command=Render&amp;rc:Parameters=False&amp;Test_Seqno=WH128073" xr:uid="{00000000-0004-0000-0300-000071010000}"/>
    <hyperlink ref="C186" r:id="rId371" display="http://reliability.mot.com/ALTV4/Reports/ALTTestReport_Functional.aspx?Test_Seqno=WH128072" xr:uid="{00000000-0004-0000-0300-000072010000}"/>
    <hyperlink ref="T186" r:id="rId372" display="http://100.65.83.171/ReportServer/Pages/ReportViewer.aspx?%2fgALT_V3_Reports%2fAll+Failure+Info+Export&amp;rs:Command=Render&amp;rc:Parameters=False&amp;Test_Seqno=WH128072" xr:uid="{00000000-0004-0000-0300-000073010000}"/>
    <hyperlink ref="C187" r:id="rId373" display="http://reliability.mot.com/ALTV4/Reports/ALTTestReport_Functional.aspx?Test_Seqno=WH128071" xr:uid="{00000000-0004-0000-0300-000074010000}"/>
    <hyperlink ref="T187" r:id="rId374" display="http://100.65.83.171/ReportServer/Pages/ReportViewer.aspx?%2fgALT_V3_Reports%2fAll+Failure+Info+Export&amp;rs:Command=Render&amp;rc:Parameters=False&amp;Test_Seqno=WH128071" xr:uid="{00000000-0004-0000-0300-000075010000}"/>
    <hyperlink ref="C188" r:id="rId375" display="http://reliability.mot.com/ALTV4/Reports/ALTTestReport_Functional.aspx?Test_Seqno=WH128070" xr:uid="{00000000-0004-0000-0300-000076010000}"/>
    <hyperlink ref="T188" r:id="rId376" display="http://100.65.83.171/ReportServer/Pages/ReportViewer.aspx?%2fgALT_V3_Reports%2fAll+Failure+Info+Export&amp;rs:Command=Render&amp;rc:Parameters=False&amp;Test_Seqno=WH128070" xr:uid="{00000000-0004-0000-0300-000077010000}"/>
    <hyperlink ref="C189" r:id="rId377" display="http://reliability.mot.com/ALTV4/Reports/ALTTestReport_Functional.aspx?Test_Seqno=WH128069" xr:uid="{00000000-0004-0000-0300-000078010000}"/>
    <hyperlink ref="T189" r:id="rId378" display="http://100.65.83.171/ReportServer/Pages/ReportViewer.aspx?%2fgALT_V3_Reports%2fAll+Failure+Info+Export&amp;rs:Command=Render&amp;rc:Parameters=False&amp;Test_Seqno=WH128069" xr:uid="{00000000-0004-0000-0300-000079010000}"/>
    <hyperlink ref="C190" r:id="rId379" display="http://reliability.mot.com/ALTV4/Reports/ALTTestReport_Functional.aspx?Test_Seqno=WH127998" xr:uid="{00000000-0004-0000-0300-00007A010000}"/>
    <hyperlink ref="T190" r:id="rId380" display="http://100.65.83.171/ReportServer/Pages/ReportViewer.aspx?%2fgALT_V3_Reports%2fAll+Failure+Info+Export&amp;rs:Command=Render&amp;rc:Parameters=False&amp;Test_Seqno=WH127998" xr:uid="{00000000-0004-0000-0300-00007B010000}"/>
    <hyperlink ref="C191" r:id="rId381" display="http://reliability.mot.com/ALTV4/Reports/ALTTestReport_Functional.aspx?Test_Seqno=WH127996" xr:uid="{00000000-0004-0000-0300-00007C010000}"/>
    <hyperlink ref="T191" r:id="rId382" display="http://100.65.83.171/ReportServer/Pages/ReportViewer.aspx?%2fgALT_V3_Reports%2fAll+Failure+Info+Export&amp;rs:Command=Render&amp;rc:Parameters=False&amp;Test_Seqno=WH127996" xr:uid="{00000000-0004-0000-0300-00007D010000}"/>
    <hyperlink ref="C192" r:id="rId383" display="http://reliability.mot.com/ALTV4/Reports/ALTTestReport_Functional.aspx?Test_Seqno=WH127995" xr:uid="{00000000-0004-0000-0300-00007E010000}"/>
    <hyperlink ref="T192" r:id="rId384" display="http://100.65.83.171/ReportServer/Pages/ReportViewer.aspx?%2fgALT_V3_Reports%2fAll+Failure+Info+Export&amp;rs:Command=Render&amp;rc:Parameters=False&amp;Test_Seqno=WH127995" xr:uid="{00000000-0004-0000-0300-00007F010000}"/>
    <hyperlink ref="C193" r:id="rId385" display="http://reliability.mot.com/ALTV4/Reports/ALTTestReport_Functional.aspx?Test_Seqno=WH127978" xr:uid="{00000000-0004-0000-0300-000080010000}"/>
    <hyperlink ref="T193" r:id="rId386" display="http://100.65.83.171/ReportServer/Pages/ReportViewer.aspx?%2fgALT_V3_Reports%2fAll+Failure+Info+Export&amp;rs:Command=Render&amp;rc:Parameters=False&amp;Test_Seqno=WH127978" xr:uid="{00000000-0004-0000-0300-000081010000}"/>
    <hyperlink ref="C194" r:id="rId387" display="http://reliability.mot.com/ALTV4/Reports/ALTTestReport_Functional.aspx?Test_Seqno=WH127973" xr:uid="{00000000-0004-0000-0300-000082010000}"/>
    <hyperlink ref="T194" r:id="rId388" display="http://100.65.83.171/ReportServer/Pages/ReportViewer.aspx?%2fgALT_V3_Reports%2fAll+Failure+Info+Export&amp;rs:Command=Render&amp;rc:Parameters=False&amp;Test_Seqno=WH127973" xr:uid="{00000000-0004-0000-0300-000083010000}"/>
    <hyperlink ref="C195" r:id="rId389" display="http://reliability.mot.com/ALTV4/Reports/ALTTestReport_Functional.aspx?Test_Seqno=WH127972" xr:uid="{00000000-0004-0000-0300-000084010000}"/>
    <hyperlink ref="T195" r:id="rId390" display="http://100.65.83.171/ReportServer/Pages/ReportViewer.aspx?%2fgALT_V3_Reports%2fAll+Failure+Info+Export&amp;rs:Command=Render&amp;rc:Parameters=False&amp;Test_Seqno=WH127972" xr:uid="{00000000-0004-0000-0300-000085010000}"/>
    <hyperlink ref="C196" r:id="rId391" display="http://reliability.mot.com/ALTV4/Reports/ALTTestReport_Functional.aspx?Test_Seqno=WH127971" xr:uid="{00000000-0004-0000-0300-000086010000}"/>
    <hyperlink ref="T196" r:id="rId392" display="http://100.65.83.171/ReportServer/Pages/ReportViewer.aspx?%2fgALT_V3_Reports%2fAll+Failure+Info+Export&amp;rs:Command=Render&amp;rc:Parameters=False&amp;Test_Seqno=WH127971" xr:uid="{00000000-0004-0000-0300-000087010000}"/>
    <hyperlink ref="C197" r:id="rId393" display="http://reliability.mot.com/ALTV4/Reports/ALTTestReport_Functional.aspx?Test_Seqno=WH127970" xr:uid="{00000000-0004-0000-0300-000088010000}"/>
    <hyperlink ref="T197" r:id="rId394" display="http://100.65.83.171/ReportServer/Pages/ReportViewer.aspx?%2fgALT_V3_Reports%2fAll+Failure+Info+Export&amp;rs:Command=Render&amp;rc:Parameters=False&amp;Test_Seqno=WH127970" xr:uid="{00000000-0004-0000-0300-000089010000}"/>
    <hyperlink ref="C198" r:id="rId395" display="http://reliability.mot.com/ALTV4/Reports/ALTTestReport_Functional.aspx?Test_Seqno=WH127969" xr:uid="{00000000-0004-0000-0300-00008A010000}"/>
    <hyperlink ref="T198" r:id="rId396" display="http://100.65.83.171/ReportServer/Pages/ReportViewer.aspx?%2fgALT_V3_Reports%2fAll+Failure+Info+Export&amp;rs:Command=Render&amp;rc:Parameters=False&amp;Test_Seqno=WH127969" xr:uid="{00000000-0004-0000-0300-00008B010000}"/>
    <hyperlink ref="C199" r:id="rId397" display="http://reliability.mot.com/ALTV4/Reports/ALTTestReport_Functional.aspx?Test_Seqno=WH127968" xr:uid="{00000000-0004-0000-0300-00008C010000}"/>
    <hyperlink ref="T199" r:id="rId398" display="http://100.65.83.171/ReportServer/Pages/ReportViewer.aspx?%2fgALT_V3_Reports%2fAll+Failure+Info+Export&amp;rs:Command=Render&amp;rc:Parameters=False&amp;Test_Seqno=WH127968" xr:uid="{00000000-0004-0000-0300-00008D010000}"/>
    <hyperlink ref="C200" r:id="rId399" display="http://reliability.mot.com/ALTV4/Reports/ALTTestReport_Functional.aspx?Test_Seqno=WH127958" xr:uid="{00000000-0004-0000-0300-00008E010000}"/>
    <hyperlink ref="T200" r:id="rId400" display="http://100.65.83.171/ReportServer/Pages/ReportViewer.aspx?%2fgALT_V3_Reports%2fAll+Failure+Info+Export&amp;rs:Command=Render&amp;rc:Parameters=False&amp;Test_Seqno=WH127958" xr:uid="{00000000-0004-0000-0300-00008F010000}"/>
    <hyperlink ref="C201" r:id="rId401" display="http://reliability.mot.com/ALTV4/Reports/ALTTestReport_Functional.aspx?Test_Seqno=RF127943" xr:uid="{00000000-0004-0000-0300-000090010000}"/>
    <hyperlink ref="T201" r:id="rId402" display="http://100.65.83.171/ReportServer/Pages/ReportViewer.aspx?%2fgALT_V3_Reports%2fAll+Failure+Info+Export&amp;rs:Command=Render&amp;rc:Parameters=False&amp;Test_Seqno=RF127943" xr:uid="{00000000-0004-0000-0300-000091010000}"/>
    <hyperlink ref="C202" r:id="rId403" display="http://reliability.mot.com/ALTV4/Reports/ALTTestReport_Functional.aspx?Test_Seqno=RF127941" xr:uid="{00000000-0004-0000-0300-000092010000}"/>
    <hyperlink ref="T202" r:id="rId404" display="http://100.65.83.171/ReportServer/Pages/ReportViewer.aspx?%2fgALT_V3_Reports%2fAll+Failure+Info+Export&amp;rs:Command=Render&amp;rc:Parameters=False&amp;Test_Seqno=RF127941" xr:uid="{00000000-0004-0000-0300-000093010000}"/>
    <hyperlink ref="C203" r:id="rId405" display="http://reliability.mot.com/ALTV4/Reports/ALTTestReport_Functional.aspx?Test_Seqno=RF127854" xr:uid="{00000000-0004-0000-0300-000094010000}"/>
    <hyperlink ref="T203" r:id="rId406" display="http://100.65.83.171/ReportServer/Pages/ReportViewer.aspx?%2fgALT_V3_Reports%2fAll+Failure+Info+Export&amp;rs:Command=Render&amp;rc:Parameters=False&amp;Test_Seqno=RF127854" xr:uid="{00000000-0004-0000-0300-000095010000}"/>
    <hyperlink ref="C204" r:id="rId407" display="http://reliability.mot.com/ALTV4/Reports/ALTTestReport_Functional.aspx?Test_Seqno=WH127795" xr:uid="{00000000-0004-0000-0300-000096010000}"/>
    <hyperlink ref="T204" r:id="rId408" display="http://100.65.83.171/ReportServer/Pages/ReportViewer.aspx?%2fgALT_V3_Reports%2fAll+Failure+Info+Export&amp;rs:Command=Render&amp;rc:Parameters=False&amp;Test_Seqno=WH127795" xr:uid="{00000000-0004-0000-0300-000097010000}"/>
    <hyperlink ref="C205" r:id="rId409" display="http://reliability.mot.com/ALTV4/Reports/ALTTestReport_Functional.aspx?Test_Seqno=WH127729" xr:uid="{00000000-0004-0000-0300-000098010000}"/>
    <hyperlink ref="T205" r:id="rId410" display="http://100.65.83.171/ReportServer/Pages/ReportViewer.aspx?%2fgALT_V3_Reports%2fAll+Failure+Info+Export&amp;rs:Command=Render&amp;rc:Parameters=False&amp;Test_Seqno=WH127729" xr:uid="{00000000-0004-0000-0300-000099010000}"/>
    <hyperlink ref="C206" r:id="rId411" display="http://reliability.mot.com/ALTV4/Reports/ALTTestReport_Functional.aspx?Test_Seqno=WH127728" xr:uid="{00000000-0004-0000-0300-00009A010000}"/>
    <hyperlink ref="T206" r:id="rId412" display="http://100.65.83.171/ReportServer/Pages/ReportViewer.aspx?%2fgALT_V3_Reports%2fAll+Failure+Info+Export&amp;rs:Command=Render&amp;rc:Parameters=False&amp;Test_Seqno=WH127728" xr:uid="{00000000-0004-0000-0300-00009B010000}"/>
    <hyperlink ref="C207" r:id="rId413" display="http://reliability.mot.com/ALTV4/Reports/ALTTestReport_Functional.aspx?Test_Seqno=WH127727" xr:uid="{00000000-0004-0000-0300-00009C010000}"/>
    <hyperlink ref="T207" r:id="rId414" display="http://100.65.83.171/ReportServer/Pages/ReportViewer.aspx?%2fgALT_V3_Reports%2fAll+Failure+Info+Export&amp;rs:Command=Render&amp;rc:Parameters=False&amp;Test_Seqno=WH127727" xr:uid="{00000000-0004-0000-0300-00009D010000}"/>
    <hyperlink ref="C208" r:id="rId415" display="http://reliability.mot.com/ALTV4/Reports/ALTTestReport_Functional.aspx?Test_Seqno=WH127726" xr:uid="{00000000-0004-0000-0300-00009E010000}"/>
    <hyperlink ref="T208" r:id="rId416" display="http://100.65.83.171/ReportServer/Pages/ReportViewer.aspx?%2fgALT_V3_Reports%2fAll+Failure+Info+Export&amp;rs:Command=Render&amp;rc:Parameters=False&amp;Test_Seqno=WH127726" xr:uid="{00000000-0004-0000-0300-00009F010000}"/>
    <hyperlink ref="C209" r:id="rId417" display="http://reliability.mot.com/ALTV4/Reports/ALTTestReport_Functional.aspx?Test_Seqno=WH127725" xr:uid="{00000000-0004-0000-0300-0000A0010000}"/>
    <hyperlink ref="T209" r:id="rId418" display="http://100.65.83.171/ReportServer/Pages/ReportViewer.aspx?%2fgALT_V3_Reports%2fAll+Failure+Info+Export&amp;rs:Command=Render&amp;rc:Parameters=False&amp;Test_Seqno=WH127725" xr:uid="{00000000-0004-0000-0300-0000A1010000}"/>
    <hyperlink ref="C210" r:id="rId419" display="http://reliability.mot.com/ALTV4/Reports/ALTTestReport_Functional.aspx?Test_Seqno=WH127724" xr:uid="{00000000-0004-0000-0300-0000A2010000}"/>
    <hyperlink ref="T210" r:id="rId420" display="http://100.65.83.171/ReportServer/Pages/ReportViewer.aspx?%2fgALT_V3_Reports%2fAll+Failure+Info+Export&amp;rs:Command=Render&amp;rc:Parameters=False&amp;Test_Seqno=WH127724" xr:uid="{00000000-0004-0000-0300-0000A3010000}"/>
    <hyperlink ref="C211" r:id="rId421" display="http://reliability.mot.com/ALTV4/Reports/ALTTestReport_Functional.aspx?Test_Seqno=WH127715" xr:uid="{00000000-0004-0000-0300-0000A4010000}"/>
    <hyperlink ref="T211" r:id="rId422" display="http://100.65.83.171/ReportServer/Pages/ReportViewer.aspx?%2fgALT_V3_Reports%2fAll+Failure+Info+Export&amp;rs:Command=Render&amp;rc:Parameters=False&amp;Test_Seqno=WH127715" xr:uid="{00000000-0004-0000-0300-0000A5010000}"/>
    <hyperlink ref="C212" r:id="rId423" display="http://reliability.mot.com/ALTV4/Reports/ALTTestReport_Functional.aspx?Test_Seqno=WH127714" xr:uid="{00000000-0004-0000-0300-0000A6010000}"/>
    <hyperlink ref="T212" r:id="rId424" display="http://100.65.83.171/ReportServer/Pages/ReportViewer.aspx?%2fgALT_V3_Reports%2fAll+Failure+Info+Export&amp;rs:Command=Render&amp;rc:Parameters=False&amp;Test_Seqno=WH127714" xr:uid="{00000000-0004-0000-0300-0000A7010000}"/>
    <hyperlink ref="C213" r:id="rId425" display="http://reliability.mot.com/ALTV4/Reports/ALTTestReport_Functional.aspx?Test_Seqno=WH127713" xr:uid="{00000000-0004-0000-0300-0000A8010000}"/>
    <hyperlink ref="T213" r:id="rId426" display="http://100.65.83.171/ReportServer/Pages/ReportViewer.aspx?%2fgALT_V3_Reports%2fAll+Failure+Info+Export&amp;rs:Command=Render&amp;rc:Parameters=False&amp;Test_Seqno=WH127713" xr:uid="{00000000-0004-0000-0300-0000A9010000}"/>
    <hyperlink ref="C214" r:id="rId427" display="http://reliability.mot.com/ALTV4/Reports/ALTTestReport_Functional.aspx?Test_Seqno=WH127712" xr:uid="{00000000-0004-0000-0300-0000AA010000}"/>
    <hyperlink ref="T214" r:id="rId428" display="http://100.65.83.171/ReportServer/Pages/ReportViewer.aspx?%2fgALT_V3_Reports%2fAll+Failure+Info+Export&amp;rs:Command=Render&amp;rc:Parameters=False&amp;Test_Seqno=WH127712" xr:uid="{00000000-0004-0000-0300-0000AB010000}"/>
    <hyperlink ref="C215" r:id="rId429" display="http://reliability.mot.com/ALTV4/Reports/ALTTestReport_Functional.aspx?Test_Seqno=WH127711" xr:uid="{00000000-0004-0000-0300-0000AC010000}"/>
    <hyperlink ref="T215" r:id="rId430" display="http://100.65.83.171/ReportServer/Pages/ReportViewer.aspx?%2fgALT_V3_Reports%2fAll+Failure+Info+Export&amp;rs:Command=Render&amp;rc:Parameters=False&amp;Test_Seqno=WH127711" xr:uid="{00000000-0004-0000-0300-0000AD010000}"/>
    <hyperlink ref="C216" r:id="rId431" display="http://reliability.mot.com/ALTV4/Reports/ALTTestReport_Functional.aspx?Test_Seqno=WH127710" xr:uid="{00000000-0004-0000-0300-0000AE010000}"/>
    <hyperlink ref="T216" r:id="rId432" display="http://100.65.83.171/ReportServer/Pages/ReportViewer.aspx?%2fgALT_V3_Reports%2fAll+Failure+Info+Export&amp;rs:Command=Render&amp;rc:Parameters=False&amp;Test_Seqno=WH127710" xr:uid="{00000000-0004-0000-0300-0000AF010000}"/>
    <hyperlink ref="C217" r:id="rId433" display="http://reliability.mot.com/ALTV4/Reports/ALTTestReport_Functional.aspx?Test_Seqno=WH127709" xr:uid="{00000000-0004-0000-0300-0000B0010000}"/>
    <hyperlink ref="T217" r:id="rId434" display="http://100.65.83.171/ReportServer/Pages/ReportViewer.aspx?%2fgALT_V3_Reports%2fAll+Failure+Info+Export&amp;rs:Command=Render&amp;rc:Parameters=False&amp;Test_Seqno=WH127709" xr:uid="{00000000-0004-0000-0300-0000B1010000}"/>
    <hyperlink ref="C218" r:id="rId435" display="http://reliability.mot.com/ALTV4/Reports/ALTTestReport_Functional.aspx?Test_Seqno=WH127708" xr:uid="{00000000-0004-0000-0300-0000B2010000}"/>
    <hyperlink ref="T218" r:id="rId436" display="http://100.65.83.171/ReportServer/Pages/ReportViewer.aspx?%2fgALT_V3_Reports%2fAll+Failure+Info+Export&amp;rs:Command=Render&amp;rc:Parameters=False&amp;Test_Seqno=WH127708" xr:uid="{00000000-0004-0000-0300-0000B3010000}"/>
    <hyperlink ref="C219" r:id="rId437" display="http://reliability.mot.com/ALTV4/Reports/ALTTestReport_Functional.aspx?Test_Seqno=WH127707" xr:uid="{00000000-0004-0000-0300-0000B4010000}"/>
    <hyperlink ref="T219" r:id="rId438" display="http://100.65.83.171/ReportServer/Pages/ReportViewer.aspx?%2fgALT_V3_Reports%2fAll+Failure+Info+Export&amp;rs:Command=Render&amp;rc:Parameters=False&amp;Test_Seqno=WH127707" xr:uid="{00000000-0004-0000-0300-0000B5010000}"/>
    <hyperlink ref="C220" r:id="rId439" display="http://reliability.mot.com/ALTV4/Reports/ALTTestReport_Functional.aspx?Test_Seqno=WH127706" xr:uid="{00000000-0004-0000-0300-0000B6010000}"/>
    <hyperlink ref="T220" r:id="rId440" display="http://100.65.83.171/ReportServer/Pages/ReportViewer.aspx?%2fgALT_V3_Reports%2fAll+Failure+Info+Export&amp;rs:Command=Render&amp;rc:Parameters=False&amp;Test_Seqno=WH127706" xr:uid="{00000000-0004-0000-0300-0000B7010000}"/>
    <hyperlink ref="C221" r:id="rId441" display="http://reliability.mot.com/ALTV4/Reports/ALTTestReport_Functional.aspx?Test_Seqno=WH127705" xr:uid="{00000000-0004-0000-0300-0000B8010000}"/>
    <hyperlink ref="T221" r:id="rId442" display="http://100.65.83.171/ReportServer/Pages/ReportViewer.aspx?%2fgALT_V3_Reports%2fAll+Failure+Info+Export&amp;rs:Command=Render&amp;rc:Parameters=False&amp;Test_Seqno=WH127705" xr:uid="{00000000-0004-0000-0300-0000B9010000}"/>
    <hyperlink ref="C222" r:id="rId443" display="http://reliability.mot.com/ALTV4/Reports/ALTTestReport_Functional.aspx?Test_Seqno=WH127704" xr:uid="{00000000-0004-0000-0300-0000BA010000}"/>
    <hyperlink ref="T222" r:id="rId444" display="http://100.65.83.171/ReportServer/Pages/ReportViewer.aspx?%2fgALT_V3_Reports%2fAll+Failure+Info+Export&amp;rs:Command=Render&amp;rc:Parameters=False&amp;Test_Seqno=WH127704" xr:uid="{00000000-0004-0000-0300-0000BB010000}"/>
    <hyperlink ref="C223" r:id="rId445" display="http://reliability.mot.com/ALTV4/Reports/ALTTestReport_Functional.aspx?Test_Seqno=WH127703" xr:uid="{00000000-0004-0000-0300-0000BC010000}"/>
    <hyperlink ref="T223" r:id="rId446" display="http://100.65.83.171/ReportServer/Pages/ReportViewer.aspx?%2fgALT_V3_Reports%2fAll+Failure+Info+Export&amp;rs:Command=Render&amp;rc:Parameters=False&amp;Test_Seqno=WH127703" xr:uid="{00000000-0004-0000-0300-0000BD010000}"/>
    <hyperlink ref="C224" r:id="rId447" display="http://reliability.mot.com/ALTV4/Reports/ALTTestReport_Functional.aspx?Test_Seqno=WH127702" xr:uid="{00000000-0004-0000-0300-0000BE010000}"/>
    <hyperlink ref="T224" r:id="rId448" display="http://100.65.83.171/ReportServer/Pages/ReportViewer.aspx?%2fgALT_V3_Reports%2fAll+Failure+Info+Export&amp;rs:Command=Render&amp;rc:Parameters=False&amp;Test_Seqno=WH127702" xr:uid="{00000000-0004-0000-0300-0000BF010000}"/>
    <hyperlink ref="C225" r:id="rId449" display="http://reliability.mot.com/ALTV4/Reports/ALTTestReport_Functional.aspx?Test_Seqno=WH127701" xr:uid="{00000000-0004-0000-0300-0000C0010000}"/>
    <hyperlink ref="T225" r:id="rId450" display="http://100.65.83.171/ReportServer/Pages/ReportViewer.aspx?%2fgALT_V3_Reports%2fAll+Failure+Info+Export&amp;rs:Command=Render&amp;rc:Parameters=False&amp;Test_Seqno=WH127701" xr:uid="{00000000-0004-0000-0300-0000C1010000}"/>
    <hyperlink ref="C226" r:id="rId451" display="http://reliability.mot.com/ALTV4/Reports/ALTTestReport_Functional.aspx?Test_Seqno=WH127698" xr:uid="{00000000-0004-0000-0300-0000C2010000}"/>
    <hyperlink ref="T226" r:id="rId452" display="http://100.65.83.171/ReportServer/Pages/ReportViewer.aspx?%2fgALT_V3_Reports%2fAll+Failure+Info+Export&amp;rs:Command=Render&amp;rc:Parameters=False&amp;Test_Seqno=WH127698" xr:uid="{00000000-0004-0000-0300-0000C3010000}"/>
    <hyperlink ref="C227" r:id="rId453" display="http://reliability.mot.com/ALTV4/Reports/ALTTestReport_Functional.aspx?Test_Seqno=WH127695" xr:uid="{00000000-0004-0000-0300-0000C4010000}"/>
    <hyperlink ref="T227" r:id="rId454" display="http://100.65.83.171/ReportServer/Pages/ReportViewer.aspx?%2fgALT_V3_Reports%2fAll+Failure+Info+Export&amp;rs:Command=Render&amp;rc:Parameters=False&amp;Test_Seqno=WH127695" xr:uid="{00000000-0004-0000-0300-0000C5010000}"/>
    <hyperlink ref="C228" r:id="rId455" display="http://reliability.mot.com/ALTV4/Reports/ALTTestReport_Functional.aspx?Test_Seqno=WH127694" xr:uid="{00000000-0004-0000-0300-0000C6010000}"/>
    <hyperlink ref="T228" r:id="rId456" display="http://100.65.83.171/ReportServer/Pages/ReportViewer.aspx?%2fgALT_V3_Reports%2fAll+Failure+Info+Export&amp;rs:Command=Render&amp;rc:Parameters=False&amp;Test_Seqno=WH127694" xr:uid="{00000000-0004-0000-0300-0000C7010000}"/>
    <hyperlink ref="C229" r:id="rId457" display="http://reliability.mot.com/ALTV4/Reports/ALTTestReport_Functional.aspx?Test_Seqno=WH127693" xr:uid="{00000000-0004-0000-0300-0000C8010000}"/>
    <hyperlink ref="T229" r:id="rId458" display="http://100.65.83.171/ReportServer/Pages/ReportViewer.aspx?%2fgALT_V3_Reports%2fAll+Failure+Info+Export&amp;rs:Command=Render&amp;rc:Parameters=False&amp;Test_Seqno=WH127693" xr:uid="{00000000-0004-0000-0300-0000C9010000}"/>
    <hyperlink ref="C230" r:id="rId459" display="http://reliability.mot.com/ALTV4/Reports/ALTTestReport_Functional.aspx?Test_Seqno=WH127692" xr:uid="{00000000-0004-0000-0300-0000CA010000}"/>
    <hyperlink ref="T230" r:id="rId460" display="http://100.65.83.171/ReportServer/Pages/ReportViewer.aspx?%2fgALT_V3_Reports%2fAll+Failure+Info+Export&amp;rs:Command=Render&amp;rc:Parameters=False&amp;Test_Seqno=WH127692" xr:uid="{00000000-0004-0000-0300-0000CB010000}"/>
    <hyperlink ref="C231" r:id="rId461" display="http://reliability.mot.com/ALTV4/Reports/ALTTestReport_Functional.aspx?Test_Seqno=WH127691" xr:uid="{00000000-0004-0000-0300-0000CC010000}"/>
    <hyperlink ref="T231" r:id="rId462" display="http://100.65.83.171/ReportServer/Pages/ReportViewer.aspx?%2fgALT_V3_Reports%2fAll+Failure+Info+Export&amp;rs:Command=Render&amp;rc:Parameters=False&amp;Test_Seqno=WH127691" xr:uid="{00000000-0004-0000-0300-0000CD010000}"/>
    <hyperlink ref="C232" r:id="rId463" display="http://reliability.mot.com/ALTV4/Reports/ALTTestReport_Functional.aspx?Test_Seqno=WH127690" xr:uid="{00000000-0004-0000-0300-0000CE010000}"/>
    <hyperlink ref="T232" r:id="rId464" display="http://100.65.83.171/ReportServer/Pages/ReportViewer.aspx?%2fgALT_V3_Reports%2fAll+Failure+Info+Export&amp;rs:Command=Render&amp;rc:Parameters=False&amp;Test_Seqno=WH127690" xr:uid="{00000000-0004-0000-0300-0000CF010000}"/>
    <hyperlink ref="C233" r:id="rId465" display="http://reliability.mot.com/ALTV4/Reports/ALTTestReport_Functional.aspx?Test_Seqno=WH127689" xr:uid="{00000000-0004-0000-0300-0000D0010000}"/>
    <hyperlink ref="T233" r:id="rId466" display="http://100.65.83.171/ReportServer/Pages/ReportViewer.aspx?%2fgALT_V3_Reports%2fAll+Failure+Info+Export&amp;rs:Command=Render&amp;rc:Parameters=False&amp;Test_Seqno=WH127689" xr:uid="{00000000-0004-0000-0300-0000D1010000}"/>
    <hyperlink ref="C234" r:id="rId467" display="http://reliability.mot.com/ALTV4/Reports/ALTTestReport_Functional.aspx?Test_Seqno=WH127687" xr:uid="{00000000-0004-0000-0300-0000D2010000}"/>
    <hyperlink ref="T234" r:id="rId468" display="http://100.65.83.171/ReportServer/Pages/ReportViewer.aspx?%2fgALT_V3_Reports%2fAll+Failure+Info+Export&amp;rs:Command=Render&amp;rc:Parameters=False&amp;Test_Seqno=WH127687" xr:uid="{00000000-0004-0000-0300-0000D3010000}"/>
    <hyperlink ref="C235" r:id="rId469" display="http://reliability.mot.com/ALTV4/Reports/ALTTestReport_Functional.aspx?Test_Seqno=WH127686" xr:uid="{00000000-0004-0000-0300-0000D4010000}"/>
    <hyperlink ref="T235" r:id="rId470" display="http://100.65.83.171/ReportServer/Pages/ReportViewer.aspx?%2fgALT_V3_Reports%2fAll+Failure+Info+Export&amp;rs:Command=Render&amp;rc:Parameters=False&amp;Test_Seqno=WH127686" xr:uid="{00000000-0004-0000-0300-0000D5010000}"/>
    <hyperlink ref="C236" r:id="rId471" display="http://reliability.mot.com/ALTV4/Reports/ALTTestReport_Functional.aspx?Test_Seqno=WH127685" xr:uid="{00000000-0004-0000-0300-0000D6010000}"/>
    <hyperlink ref="T236" r:id="rId472" display="http://100.65.83.171/ReportServer/Pages/ReportViewer.aspx?%2fgALT_V3_Reports%2fAll+Failure+Info+Export&amp;rs:Command=Render&amp;rc:Parameters=False&amp;Test_Seqno=WH127685" xr:uid="{00000000-0004-0000-0300-0000D7010000}"/>
    <hyperlink ref="C237" r:id="rId473" display="http://reliability.mot.com/ALTV4/Reports/ALTTestReport_Functional.aspx?Test_Seqno=WH127684" xr:uid="{00000000-0004-0000-0300-0000D8010000}"/>
    <hyperlink ref="T237" r:id="rId474" display="http://100.65.83.171/ReportServer/Pages/ReportViewer.aspx?%2fgALT_V3_Reports%2fAll+Failure+Info+Export&amp;rs:Command=Render&amp;rc:Parameters=False&amp;Test_Seqno=WH127684" xr:uid="{00000000-0004-0000-0300-0000D9010000}"/>
    <hyperlink ref="C238" r:id="rId475" display="http://reliability.mot.com/ALTV4/Reports/ALTTestReport_Functional.aspx?Test_Seqno=WH127682" xr:uid="{00000000-0004-0000-0300-0000DA010000}"/>
    <hyperlink ref="T238" r:id="rId476" display="http://100.65.83.171/ReportServer/Pages/ReportViewer.aspx?%2fgALT_V3_Reports%2fAll+Failure+Info+Export&amp;rs:Command=Render&amp;rc:Parameters=False&amp;Test_Seqno=WH127682" xr:uid="{00000000-0004-0000-0300-0000DB010000}"/>
    <hyperlink ref="C239" r:id="rId477" display="http://reliability.mot.com/ALTV4/Reports/ALTTestReport_Functional.aspx?Test_Seqno=WH127678" xr:uid="{00000000-0004-0000-0300-0000DC010000}"/>
    <hyperlink ref="T239" r:id="rId478" display="http://100.65.83.171/ReportServer/Pages/ReportViewer.aspx?%2fgALT_V3_Reports%2fAll+Failure+Info+Export&amp;rs:Command=Render&amp;rc:Parameters=False&amp;Test_Seqno=WH127678" xr:uid="{00000000-0004-0000-0300-0000DD010000}"/>
    <hyperlink ref="C240" r:id="rId479" display="http://reliability.mot.com/ALTV4/Reports/ALTTestReport_Functional.aspx?Test_Seqno=WH127677" xr:uid="{00000000-0004-0000-0300-0000DE010000}"/>
    <hyperlink ref="T240" r:id="rId480" display="http://100.65.83.171/ReportServer/Pages/ReportViewer.aspx?%2fgALT_V3_Reports%2fAll+Failure+Info+Export&amp;rs:Command=Render&amp;rc:Parameters=False&amp;Test_Seqno=WH127677" xr:uid="{00000000-0004-0000-0300-0000DF010000}"/>
    <hyperlink ref="C241" r:id="rId481" display="http://reliability.mot.com/ALTV4/Reports/ALTTestReport_Functional.aspx?Test_Seqno=WH127675" xr:uid="{00000000-0004-0000-0300-0000E0010000}"/>
    <hyperlink ref="T241" r:id="rId482" display="http://100.65.83.171/ReportServer/Pages/ReportViewer.aspx?%2fgALT_V3_Reports%2fAll+Failure+Info+Export&amp;rs:Command=Render&amp;rc:Parameters=False&amp;Test_Seqno=WH127675" xr:uid="{00000000-0004-0000-0300-0000E1010000}"/>
    <hyperlink ref="C242" r:id="rId483" display="http://reliability.mot.com/ALTV4/Reports/ALTTestReport_Functional.aspx?Test_Seqno=WH127673" xr:uid="{00000000-0004-0000-0300-0000E2010000}"/>
    <hyperlink ref="T242" r:id="rId484" display="http://100.65.83.171/ReportServer/Pages/ReportViewer.aspx?%2fgALT_V3_Reports%2fAll+Failure+Info+Export&amp;rs:Command=Render&amp;rc:Parameters=False&amp;Test_Seqno=WH127673" xr:uid="{00000000-0004-0000-0300-0000E3010000}"/>
    <hyperlink ref="C243" r:id="rId485" display="http://reliability.mot.com/ALTV4/Reports/ALTTestReport_Functional.aspx?Test_Seqno=WH127672" xr:uid="{00000000-0004-0000-0300-0000E4010000}"/>
    <hyperlink ref="T243" r:id="rId486" display="http://100.65.83.171/ReportServer/Pages/ReportViewer.aspx?%2fgALT_V3_Reports%2fAll+Failure+Info+Export&amp;rs:Command=Render&amp;rc:Parameters=False&amp;Test_Seqno=WH127672" xr:uid="{00000000-0004-0000-0300-0000E5010000}"/>
    <hyperlink ref="C244" r:id="rId487" display="http://reliability.mot.com/ALTV4/Reports/ALTTestReport_Functional.aspx?Test_Seqno=WH127667" xr:uid="{00000000-0004-0000-0300-0000E6010000}"/>
    <hyperlink ref="T244" r:id="rId488" display="http://100.65.83.171/ReportServer/Pages/ReportViewer.aspx?%2fgALT_V3_Reports%2fAll+Failure+Info+Export&amp;rs:Command=Render&amp;rc:Parameters=False&amp;Test_Seqno=WH127667" xr:uid="{00000000-0004-0000-0300-0000E7010000}"/>
    <hyperlink ref="C245" r:id="rId489" display="http://reliability.mot.com/ALTV4/Reports/ALTTestReport_Functional.aspx?Test_Seqno=WH127666" xr:uid="{00000000-0004-0000-0300-0000E8010000}"/>
    <hyperlink ref="T245" r:id="rId490" display="http://100.65.83.171/ReportServer/Pages/ReportViewer.aspx?%2fgALT_V3_Reports%2fAll+Failure+Info+Export&amp;rs:Command=Render&amp;rc:Parameters=False&amp;Test_Seqno=WH127666" xr:uid="{00000000-0004-0000-0300-0000E9010000}"/>
    <hyperlink ref="C246" r:id="rId491" display="http://reliability.mot.com/ALTV4/Reports/ALTTestReport_Functional.aspx?Test_Seqno=WH127664" xr:uid="{00000000-0004-0000-0300-0000EA010000}"/>
    <hyperlink ref="T246" r:id="rId492" display="http://100.65.83.171/ReportServer/Pages/ReportViewer.aspx?%2fgALT_V3_Reports%2fAll+Failure+Info+Export&amp;rs:Command=Render&amp;rc:Parameters=False&amp;Test_Seqno=WH127664" xr:uid="{00000000-0004-0000-0300-0000EB010000}"/>
    <hyperlink ref="C247" r:id="rId493" display="http://reliability.mot.com/ALTV4/Reports/ALTTestReport_Functional.aspx?Test_Seqno=WH127663" xr:uid="{00000000-0004-0000-0300-0000EC010000}"/>
    <hyperlink ref="T247" r:id="rId494" display="http://100.65.83.171/ReportServer/Pages/ReportViewer.aspx?%2fgALT_V3_Reports%2fAll+Failure+Info+Export&amp;rs:Command=Render&amp;rc:Parameters=False&amp;Test_Seqno=WH127663" xr:uid="{00000000-0004-0000-0300-0000ED010000}"/>
    <hyperlink ref="C248" r:id="rId495" display="http://reliability.mot.com/ALTV4/Reports/ALTTestReport_Functional.aspx?Test_Seqno=WH127662" xr:uid="{00000000-0004-0000-0300-0000EE010000}"/>
    <hyperlink ref="T248" r:id="rId496" display="http://100.65.83.171/ReportServer/Pages/ReportViewer.aspx?%2fgALT_V3_Reports%2fAll+Failure+Info+Export&amp;rs:Command=Render&amp;rc:Parameters=False&amp;Test_Seqno=WH127662" xr:uid="{00000000-0004-0000-0300-0000EF010000}"/>
    <hyperlink ref="C249" r:id="rId497" display="http://reliability.mot.com/ALTV4/Reports/ALTTestReport_Functional.aspx?Test_Seqno=WH127661" xr:uid="{00000000-0004-0000-0300-0000F0010000}"/>
    <hyperlink ref="T249" r:id="rId498" display="http://100.65.83.171/ReportServer/Pages/ReportViewer.aspx?%2fgALT_V3_Reports%2fAll+Failure+Info+Export&amp;rs:Command=Render&amp;rc:Parameters=False&amp;Test_Seqno=WH127661" xr:uid="{00000000-0004-0000-0300-0000F1010000}"/>
    <hyperlink ref="C250" r:id="rId499" display="http://reliability.mot.com/ALTV4/Reports/ALTTestReport_Functional.aspx?Test_Seqno=WH127660" xr:uid="{00000000-0004-0000-0300-0000F2010000}"/>
    <hyperlink ref="T250" r:id="rId500" display="http://100.65.83.171/ReportServer/Pages/ReportViewer.aspx?%2fgALT_V3_Reports%2fAll+Failure+Info+Export&amp;rs:Command=Render&amp;rc:Parameters=False&amp;Test_Seqno=WH127660" xr:uid="{00000000-0004-0000-0300-0000F3010000}"/>
    <hyperlink ref="C251" r:id="rId501" display="http://reliability.mot.com/ALTV4/Reports/ALTTestReport_Functional.aspx?Test_Seqno=WH127657" xr:uid="{00000000-0004-0000-0300-0000F4010000}"/>
    <hyperlink ref="T251" r:id="rId502" display="http://100.65.83.171/ReportServer/Pages/ReportViewer.aspx?%2fgALT_V3_Reports%2fAll+Failure+Info+Export&amp;rs:Command=Render&amp;rc:Parameters=False&amp;Test_Seqno=WH127657" xr:uid="{00000000-0004-0000-0300-0000F5010000}"/>
    <hyperlink ref="C252" r:id="rId503" display="http://reliability.mot.com/ALTV4/Reports/ALTTestReport_Functional.aspx?Test_Seqno=WH127616" xr:uid="{00000000-0004-0000-0300-0000F6010000}"/>
    <hyperlink ref="T252" r:id="rId504" display="http://100.65.83.171/ReportServer/Pages/ReportViewer.aspx?%2fgALT_V3_Reports%2fAll+Failure+Info+Export&amp;rs:Command=Render&amp;rc:Parameters=False&amp;Test_Seqno=WH127616" xr:uid="{00000000-0004-0000-0300-0000F7010000}"/>
    <hyperlink ref="C253" r:id="rId505" display="http://reliability.mot.com/ALTV4/Reports/ALTTestReport_Functional.aspx?Test_Seqno=WH127610" xr:uid="{00000000-0004-0000-0300-0000F8010000}"/>
    <hyperlink ref="T253" r:id="rId506" display="http://100.65.83.171/ReportServer/Pages/ReportViewer.aspx?%2fgALT_V3_Reports%2fAll+Failure+Info+Export&amp;rs:Command=Render&amp;rc:Parameters=False&amp;Test_Seqno=WH127610" xr:uid="{00000000-0004-0000-0300-0000F9010000}"/>
    <hyperlink ref="C254" r:id="rId507" display="http://reliability.mot.com/ALTV4/Reports/ALTTestReport_Functional.aspx?Test_Seqno=WH127609" xr:uid="{00000000-0004-0000-0300-0000FA010000}"/>
    <hyperlink ref="T254" r:id="rId508" display="http://100.65.83.171/ReportServer/Pages/ReportViewer.aspx?%2fgALT_V3_Reports%2fAll+Failure+Info+Export&amp;rs:Command=Render&amp;rc:Parameters=False&amp;Test_Seqno=WH127609" xr:uid="{00000000-0004-0000-0300-0000FB010000}"/>
    <hyperlink ref="C255" r:id="rId509" display="http://reliability.mot.com/ALTV4/Reports/ALTTestReport_Functional.aspx?Test_Seqno=WH127590" xr:uid="{00000000-0004-0000-0300-0000FC010000}"/>
    <hyperlink ref="T255" r:id="rId510" display="http://100.65.83.171/ReportServer/Pages/ReportViewer.aspx?%2fgALT_V3_Reports%2fAll+Failure+Info+Export&amp;rs:Command=Render&amp;rc:Parameters=False&amp;Test_Seqno=WH127590" xr:uid="{00000000-0004-0000-0300-0000FD010000}"/>
    <hyperlink ref="C256" r:id="rId511" display="http://reliability.mot.com/ALTV4/Reports/ALTTestReport_Functional.aspx?Test_Seqno=WH127589" xr:uid="{00000000-0004-0000-0300-0000FE010000}"/>
    <hyperlink ref="T256" r:id="rId512" display="http://100.65.83.171/ReportServer/Pages/ReportViewer.aspx?%2fgALT_V3_Reports%2fAll+Failure+Info+Export&amp;rs:Command=Render&amp;rc:Parameters=False&amp;Test_Seqno=WH127589" xr:uid="{00000000-0004-0000-0300-0000FF010000}"/>
    <hyperlink ref="C257" r:id="rId513" display="http://reliability.mot.com/ALTV4/Reports/ALTTestReport_Functional.aspx?Test_Seqno=WH127588" xr:uid="{00000000-0004-0000-0300-000000020000}"/>
    <hyperlink ref="T257" r:id="rId514" display="http://100.65.83.171/ReportServer/Pages/ReportViewer.aspx?%2fgALT_V3_Reports%2fAll+Failure+Info+Export&amp;rs:Command=Render&amp;rc:Parameters=False&amp;Test_Seqno=WH127588" xr:uid="{00000000-0004-0000-0300-000001020000}"/>
    <hyperlink ref="C258" r:id="rId515" display="http://reliability.mot.com/ALTV4/Reports/ALTTestReport_Functional.aspx?Test_Seqno=WH127587" xr:uid="{00000000-0004-0000-0300-000002020000}"/>
    <hyperlink ref="T258" r:id="rId516" display="http://100.65.83.171/ReportServer/Pages/ReportViewer.aspx?%2fgALT_V3_Reports%2fAll+Failure+Info+Export&amp;rs:Command=Render&amp;rc:Parameters=False&amp;Test_Seqno=WH127587" xr:uid="{00000000-0004-0000-0300-000003020000}"/>
    <hyperlink ref="C259" r:id="rId517" display="http://reliability.mot.com/ALTV4/Reports/ALTTestReport_Functional.aspx?Test_Seqno=WH127586" xr:uid="{00000000-0004-0000-0300-000004020000}"/>
    <hyperlink ref="T259" r:id="rId518" display="http://100.65.83.171/ReportServer/Pages/ReportViewer.aspx?%2fgALT_V3_Reports%2fAll+Failure+Info+Export&amp;rs:Command=Render&amp;rc:Parameters=False&amp;Test_Seqno=WH127586" xr:uid="{00000000-0004-0000-0300-000005020000}"/>
    <hyperlink ref="C260" r:id="rId519" display="http://reliability.mot.com/ALTV4/Reports/ALTTestReport_Functional.aspx?Test_Seqno=RF127570" xr:uid="{00000000-0004-0000-0300-000006020000}"/>
    <hyperlink ref="T260" r:id="rId520" display="http://100.65.83.171/ReportServer/Pages/ReportViewer.aspx?%2fgALT_V3_Reports%2fAll+Failure+Info+Export&amp;rs:Command=Render&amp;rc:Parameters=False&amp;Test_Seqno=RF127570" xr:uid="{00000000-0004-0000-0300-000007020000}"/>
    <hyperlink ref="C261" r:id="rId521" display="http://reliability.mot.com/ALTV4/Reports/ALTTestReport_Functional.aspx?Test_Seqno=RF127569" xr:uid="{00000000-0004-0000-0300-000008020000}"/>
    <hyperlink ref="T261" r:id="rId522" display="http://100.65.83.171/ReportServer/Pages/ReportViewer.aspx?%2fgALT_V3_Reports%2fAll+Failure+Info+Export&amp;rs:Command=Render&amp;rc:Parameters=False&amp;Test_Seqno=RF127569" xr:uid="{00000000-0004-0000-0300-000009020000}"/>
    <hyperlink ref="C262" r:id="rId523" display="http://reliability.mot.com/ALTV4/Reports/ALTTestReport_Functional.aspx?Test_Seqno=RF127453" xr:uid="{00000000-0004-0000-0300-00000A020000}"/>
    <hyperlink ref="T262" r:id="rId524" display="http://100.65.83.171/ReportServer/Pages/ReportViewer.aspx?%2fgALT_V3_Reports%2fAll+Failure+Info+Export&amp;rs:Command=Render&amp;rc:Parameters=False&amp;Test_Seqno=RF127453" xr:uid="{00000000-0004-0000-0300-00000B020000}"/>
    <hyperlink ref="C263" r:id="rId525" display="http://reliability.mot.com/ALTV4/Reports/ALTTestReport_Functional.aspx?Test_Seqno=RF127452" xr:uid="{00000000-0004-0000-0300-00000C020000}"/>
    <hyperlink ref="T263" r:id="rId526" display="http://100.65.83.171/ReportServer/Pages/ReportViewer.aspx?%2fgALT_V3_Reports%2fAll+Failure+Info+Export&amp;rs:Command=Render&amp;rc:Parameters=False&amp;Test_Seqno=RF127452" xr:uid="{00000000-0004-0000-0300-00000D020000}"/>
    <hyperlink ref="C264" r:id="rId527" display="http://reliability.mot.com/ALTV4/Reports/ALTTestReport_Functional.aspx?Test_Seqno=WH127351" xr:uid="{00000000-0004-0000-0300-00000E020000}"/>
    <hyperlink ref="T264" r:id="rId528" display="http://100.65.83.171/ReportServer/Pages/ReportViewer.aspx?%2fgALT_V3_Reports%2fAll+Failure+Info+Export&amp;rs:Command=Render&amp;rc:Parameters=False&amp;Test_Seqno=WH127351" xr:uid="{00000000-0004-0000-0300-00000F020000}"/>
    <hyperlink ref="C265" r:id="rId529" display="http://reliability.mot.com/ALTV4/Reports/ALTTestReport_Functional.aspx?Test_Seqno=WH127285" xr:uid="{00000000-0004-0000-0300-000010020000}"/>
    <hyperlink ref="T265" r:id="rId530" display="http://100.65.83.171/ReportServer/Pages/ReportViewer.aspx?%2fgALT_V3_Reports%2fAll+Failure+Info+Export&amp;rs:Command=Render&amp;rc:Parameters=False&amp;Test_Seqno=WH127285" xr:uid="{00000000-0004-0000-0300-000011020000}"/>
    <hyperlink ref="C266" r:id="rId531" display="http://reliability.mot.com/ALTV4/Reports/ALTTestReport_Functional.aspx?Test_Seqno=RF127284" xr:uid="{00000000-0004-0000-0300-000012020000}"/>
    <hyperlink ref="T266" r:id="rId532" display="http://100.65.83.171/ReportServer/Pages/ReportViewer.aspx?%2fgALT_V3_Reports%2fAll+Failure+Info+Export&amp;rs:Command=Render&amp;rc:Parameters=False&amp;Test_Seqno=RF127284" xr:uid="{00000000-0004-0000-0300-000013020000}"/>
    <hyperlink ref="C267" r:id="rId533" display="http://reliability.mot.com/ALTV4/Reports/ALTTestReport_Functional.aspx?Test_Seqno=RF127283" xr:uid="{00000000-0004-0000-0300-000014020000}"/>
    <hyperlink ref="T267" r:id="rId534" display="http://100.65.83.171/ReportServer/Pages/ReportViewer.aspx?%2fgALT_V3_Reports%2fAll+Failure+Info+Export&amp;rs:Command=Render&amp;rc:Parameters=False&amp;Test_Seqno=RF127283" xr:uid="{00000000-0004-0000-0300-000015020000}"/>
    <hyperlink ref="C268" r:id="rId535" display="http://reliability.mot.com/ALTV4/Reports/ALTTestReport_Functional.aspx?Test_Seqno=RF127282" xr:uid="{00000000-0004-0000-0300-000016020000}"/>
    <hyperlink ref="T268" r:id="rId536" display="http://100.65.83.171/ReportServer/Pages/ReportViewer.aspx?%2fgALT_V3_Reports%2fAll+Failure+Info+Export&amp;rs:Command=Render&amp;rc:Parameters=False&amp;Test_Seqno=RF127282" xr:uid="{00000000-0004-0000-0300-000017020000}"/>
    <hyperlink ref="C269" r:id="rId537" display="http://reliability.mot.com/ALTV4/Reports/ALTTestReport_Functional.aspx?Test_Seqno=WH127262" xr:uid="{00000000-0004-0000-0300-000018020000}"/>
    <hyperlink ref="T269" r:id="rId538" display="http://100.65.83.171/ReportServer/Pages/ReportViewer.aspx?%2fgALT_V3_Reports%2fAll+Failure+Info+Export&amp;rs:Command=Render&amp;rc:Parameters=False&amp;Test_Seqno=WH127262" xr:uid="{00000000-0004-0000-0300-000019020000}"/>
    <hyperlink ref="C270" r:id="rId539" display="http://reliability.mot.com/ALTV4/Reports/ALTTestReport_Functional.aspx?Test_Seqno=RF127193" xr:uid="{00000000-0004-0000-0300-00001A020000}"/>
    <hyperlink ref="T270" r:id="rId540" display="http://100.65.83.171/ReportServer/Pages/ReportViewer.aspx?%2fgALT_V3_Reports%2fAll+Failure+Info+Export&amp;rs:Command=Render&amp;rc:Parameters=False&amp;Test_Seqno=RF127193" xr:uid="{00000000-0004-0000-0300-00001B020000}"/>
    <hyperlink ref="C271" r:id="rId541" display="http://reliability.mot.com/ALTV4/Reports/ALTTestReport_Functional.aspx?Test_Seqno=WH127188" xr:uid="{00000000-0004-0000-0300-00001C020000}"/>
    <hyperlink ref="T271" r:id="rId542" display="http://100.65.83.171/ReportServer/Pages/ReportViewer.aspx?%2fgALT_V3_Reports%2fAll+Failure+Info+Export&amp;rs:Command=Render&amp;rc:Parameters=False&amp;Test_Seqno=WH127188" xr:uid="{00000000-0004-0000-0300-00001D020000}"/>
    <hyperlink ref="C272" r:id="rId543" display="http://reliability.mot.com/ALTV4/Reports/ALTTestReport_Functional.aspx?Test_Seqno=WH127178" xr:uid="{00000000-0004-0000-0300-00001E020000}"/>
    <hyperlink ref="T272" r:id="rId544" display="http://100.65.83.171/ReportServer/Pages/ReportViewer.aspx?%2fgALT_V3_Reports%2fAll+Failure+Info+Export&amp;rs:Command=Render&amp;rc:Parameters=False&amp;Test_Seqno=WH127178" xr:uid="{00000000-0004-0000-0300-00001F020000}"/>
    <hyperlink ref="C273" r:id="rId545" display="http://reliability.mot.com/ALTV4/Reports/ALTTestReport_Functional.aspx?Test_Seqno=WH127139" xr:uid="{00000000-0004-0000-0300-000020020000}"/>
    <hyperlink ref="T273" r:id="rId546" display="http://100.65.83.171/ReportServer/Pages/ReportViewer.aspx?%2fgALT_V3_Reports%2fAll+Failure+Info+Export&amp;rs:Command=Render&amp;rc:Parameters=False&amp;Test_Seqno=WH127139" xr:uid="{00000000-0004-0000-0300-000021020000}"/>
    <hyperlink ref="C274" r:id="rId547" display="http://reliability.mot.com/ALTV4/Reports/ALTTestReport_Functional.aspx?Test_Seqno=RF127138" xr:uid="{00000000-0004-0000-0300-000022020000}"/>
    <hyperlink ref="T274" r:id="rId548" display="http://100.65.83.171/ReportServer/Pages/ReportViewer.aspx?%2fgALT_V3_Reports%2fAll+Failure+Info+Export&amp;rs:Command=Render&amp;rc:Parameters=False&amp;Test_Seqno=RF127138" xr:uid="{00000000-0004-0000-0300-000023020000}"/>
    <hyperlink ref="C275" r:id="rId549" display="http://reliability.mot.com/ALTV4/Reports/ALTTestReport_Functional.aspx?Test_Seqno=RF127110" xr:uid="{00000000-0004-0000-0300-000024020000}"/>
    <hyperlink ref="T275" r:id="rId550" display="http://100.65.83.171/ReportServer/Pages/ReportViewer.aspx?%2fgALT_V3_Reports%2fAll+Failure+Info+Export&amp;rs:Command=Render&amp;rc:Parameters=False&amp;Test_Seqno=RF127110" xr:uid="{00000000-0004-0000-0300-000025020000}"/>
    <hyperlink ref="C276" r:id="rId551" display="http://reliability.mot.com/ALTV4/Reports/ALTTestReport_Functional.aspx?Test_Seqno=WH127044" xr:uid="{00000000-0004-0000-0300-000026020000}"/>
    <hyperlink ref="T276" r:id="rId552" display="http://100.65.83.171/ReportServer/Pages/ReportViewer.aspx?%2fgALT_V3_Reports%2fAll+Failure+Info+Export&amp;rs:Command=Render&amp;rc:Parameters=False&amp;Test_Seqno=WH127044" xr:uid="{00000000-0004-0000-0300-000027020000}"/>
    <hyperlink ref="C277" r:id="rId553" display="http://reliability.mot.com/ALTV4/Reports/ALTTestReport_Functional.aspx?Test_Seqno=WH127043" xr:uid="{00000000-0004-0000-0300-000028020000}"/>
    <hyperlink ref="T277" r:id="rId554" display="http://100.65.83.171/ReportServer/Pages/ReportViewer.aspx?%2fgALT_V3_Reports%2fAll+Failure+Info+Export&amp;rs:Command=Render&amp;rc:Parameters=False&amp;Test_Seqno=WH127043" xr:uid="{00000000-0004-0000-0300-000029020000}"/>
    <hyperlink ref="C278" r:id="rId555" display="http://reliability.mot.com/ALTV4/Reports/ALTTestReport_Functional.aspx?Test_Seqno=WH127042" xr:uid="{00000000-0004-0000-0300-00002A020000}"/>
    <hyperlink ref="T278" r:id="rId556" display="http://100.65.83.171/ReportServer/Pages/ReportViewer.aspx?%2fgALT_V3_Reports%2fAll+Failure+Info+Export&amp;rs:Command=Render&amp;rc:Parameters=False&amp;Test_Seqno=WH127042" xr:uid="{00000000-0004-0000-0300-00002B020000}"/>
    <hyperlink ref="C279" r:id="rId557" display="http://reliability.mot.com/ALTV4/Reports/ALTTestReport_Functional.aspx?Test_Seqno=WH127041" xr:uid="{00000000-0004-0000-0300-00002C020000}"/>
    <hyperlink ref="T279" r:id="rId558" display="http://100.65.83.171/ReportServer/Pages/ReportViewer.aspx?%2fgALT_V3_Reports%2fAll+Failure+Info+Export&amp;rs:Command=Render&amp;rc:Parameters=False&amp;Test_Seqno=WH127041" xr:uid="{00000000-0004-0000-0300-00002D020000}"/>
    <hyperlink ref="C280" r:id="rId559" display="http://reliability.mot.com/ALTV4/Reports/ALTTestReport_Functional.aspx?Test_Seqno=WH127040" xr:uid="{00000000-0004-0000-0300-00002E020000}"/>
    <hyperlink ref="T280" r:id="rId560" display="http://100.65.83.171/ReportServer/Pages/ReportViewer.aspx?%2fgALT_V3_Reports%2fAll+Failure+Info+Export&amp;rs:Command=Render&amp;rc:Parameters=False&amp;Test_Seqno=WH127040" xr:uid="{00000000-0004-0000-0300-00002F020000}"/>
    <hyperlink ref="C281" r:id="rId561" display="http://reliability.mot.com/ALTV4/Reports/ALTTestReport_Functional.aspx?Test_Seqno=WH127039" xr:uid="{00000000-0004-0000-0300-000030020000}"/>
    <hyperlink ref="T281" r:id="rId562" display="http://100.65.83.171/ReportServer/Pages/ReportViewer.aspx?%2fgALT_V3_Reports%2fAll+Failure+Info+Export&amp;rs:Command=Render&amp;rc:Parameters=False&amp;Test_Seqno=WH127039" xr:uid="{00000000-0004-0000-0300-000031020000}"/>
    <hyperlink ref="C282" r:id="rId563" display="http://reliability.mot.com/ALTV4/Reports/ALTTestReport_Functional.aspx?Test_Seqno=WH127038" xr:uid="{00000000-0004-0000-0300-000032020000}"/>
    <hyperlink ref="T282" r:id="rId564" display="http://100.65.83.171/ReportServer/Pages/ReportViewer.aspx?%2fgALT_V3_Reports%2fAll+Failure+Info+Export&amp;rs:Command=Render&amp;rc:Parameters=False&amp;Test_Seqno=WH127038" xr:uid="{00000000-0004-0000-0300-000033020000}"/>
    <hyperlink ref="C283" r:id="rId565" display="http://reliability.mot.com/ALTV4/Reports/ALTTestReport_Functional.aspx?Test_Seqno=WH127037" xr:uid="{00000000-0004-0000-0300-000034020000}"/>
    <hyperlink ref="T283" r:id="rId566" display="http://100.65.83.171/ReportServer/Pages/ReportViewer.aspx?%2fgALT_V3_Reports%2fAll+Failure+Info+Export&amp;rs:Command=Render&amp;rc:Parameters=False&amp;Test_Seqno=WH127037" xr:uid="{00000000-0004-0000-0300-000035020000}"/>
    <hyperlink ref="C284" r:id="rId567" display="http://reliability.mot.com/ALTV4/Reports/ALTTestReport_Functional.aspx?Test_Seqno=WH127036" xr:uid="{00000000-0004-0000-0300-000036020000}"/>
    <hyperlink ref="T284" r:id="rId568" display="http://100.65.83.171/ReportServer/Pages/ReportViewer.aspx?%2fgALT_V3_Reports%2fAll+Failure+Info+Export&amp;rs:Command=Render&amp;rc:Parameters=False&amp;Test_Seqno=WH127036" xr:uid="{00000000-0004-0000-0300-000037020000}"/>
    <hyperlink ref="C285" r:id="rId569" display="http://reliability.mot.com/ALTV4/Reports/ALTTestReport_Functional.aspx?Test_Seqno=WH127032" xr:uid="{00000000-0004-0000-0300-000038020000}"/>
    <hyperlink ref="T285" r:id="rId570" display="http://100.65.83.171/ReportServer/Pages/ReportViewer.aspx?%2fgALT_V3_Reports%2fAll+Failure+Info+Export&amp;rs:Command=Render&amp;rc:Parameters=False&amp;Test_Seqno=WH127032" xr:uid="{00000000-0004-0000-0300-000039020000}"/>
    <hyperlink ref="C286" r:id="rId571" display="http://reliability.mot.com/ALTV4/Reports/ALTTestReport_Functional.aspx?Test_Seqno=RF126928" xr:uid="{00000000-0004-0000-0300-00003A020000}"/>
    <hyperlink ref="T286" r:id="rId572" display="http://100.65.83.171/ReportServer/Pages/ReportViewer.aspx?%2fgALT_V3_Reports%2fAll+Failure+Info+Export&amp;rs:Command=Render&amp;rc:Parameters=False&amp;Test_Seqno=RF126928" xr:uid="{00000000-0004-0000-0300-00003B020000}"/>
    <hyperlink ref="C287" r:id="rId573" display="http://reliability.mot.com/ALTV4/Reports/ALTTestReport_Functional.aspx?Test_Seqno=RF126919" xr:uid="{00000000-0004-0000-0300-00003C020000}"/>
    <hyperlink ref="T287" r:id="rId574" display="http://100.65.83.171/ReportServer/Pages/ReportViewer.aspx?%2fgALT_V3_Reports%2fAll+Failure+Info+Export&amp;rs:Command=Render&amp;rc:Parameters=False&amp;Test_Seqno=RF126919" xr:uid="{00000000-0004-0000-0300-00003D020000}"/>
    <hyperlink ref="C288" r:id="rId575" display="http://reliability.mot.com/ALTV4/Reports/ALTTestReport_Functional.aspx?Test_Seqno=RF126918" xr:uid="{00000000-0004-0000-0300-00003E020000}"/>
    <hyperlink ref="T288" r:id="rId576" display="http://100.65.83.171/ReportServer/Pages/ReportViewer.aspx?%2fgALT_V3_Reports%2fAll+Failure+Info+Export&amp;rs:Command=Render&amp;rc:Parameters=False&amp;Test_Seqno=RF126918" xr:uid="{00000000-0004-0000-0300-00003F020000}"/>
    <hyperlink ref="C289" r:id="rId577" display="http://reliability.mot.com/ALTV4/Reports/ALTTestReport_Functional.aspx?Test_Seqno=WH126873" xr:uid="{00000000-0004-0000-0300-000040020000}"/>
    <hyperlink ref="T289" r:id="rId578" display="http://100.65.83.171/ReportServer/Pages/ReportViewer.aspx?%2fgALT_V3_Reports%2fAll+Failure+Info+Export&amp;rs:Command=Render&amp;rc:Parameters=False&amp;Test_Seqno=WH126873" xr:uid="{00000000-0004-0000-0300-000041020000}"/>
    <hyperlink ref="C290" r:id="rId579" display="http://reliability.mot.com/ALTV4/Reports/ALTTestReport_Functional.aspx?Test_Seqno=WH126872" xr:uid="{00000000-0004-0000-0300-000042020000}"/>
    <hyperlink ref="T290" r:id="rId580" display="http://100.65.83.171/ReportServer/Pages/ReportViewer.aspx?%2fgALT_V3_Reports%2fAll+Failure+Info+Export&amp;rs:Command=Render&amp;rc:Parameters=False&amp;Test_Seqno=WH126872" xr:uid="{00000000-0004-0000-0300-000043020000}"/>
    <hyperlink ref="C291" r:id="rId581" display="http://reliability.mot.com/ALTV4/Reports/ALTTestReport_Functional.aspx?Test_Seqno=WH126871" xr:uid="{00000000-0004-0000-0300-000044020000}"/>
    <hyperlink ref="T291" r:id="rId582" display="http://100.65.83.171/ReportServer/Pages/ReportViewer.aspx?%2fgALT_V3_Reports%2fAll+Failure+Info+Export&amp;rs:Command=Render&amp;rc:Parameters=False&amp;Test_Seqno=WH126871" xr:uid="{00000000-0004-0000-0300-000045020000}"/>
    <hyperlink ref="C292" r:id="rId583" display="http://reliability.mot.com/ALTV4/Reports/ALTTestReport_Functional.aspx?Test_Seqno=WH126870" xr:uid="{00000000-0004-0000-0300-000046020000}"/>
    <hyperlink ref="T292" r:id="rId584" display="http://100.65.83.171/ReportServer/Pages/ReportViewer.aspx?%2fgALT_V3_Reports%2fAll+Failure+Info+Export&amp;rs:Command=Render&amp;rc:Parameters=False&amp;Test_Seqno=WH126870" xr:uid="{00000000-0004-0000-0300-000047020000}"/>
    <hyperlink ref="C293" r:id="rId585" display="http://reliability.mot.com/ALTV4/Reports/ALTTestReport_Functional.aspx?Test_Seqno=RF126854" xr:uid="{00000000-0004-0000-0300-000048020000}"/>
    <hyperlink ref="T293" r:id="rId586" display="http://100.65.83.171/ReportServer/Pages/ReportViewer.aspx?%2fgALT_V3_Reports%2fAll+Failure+Info+Export&amp;rs:Command=Render&amp;rc:Parameters=False&amp;Test_Seqno=RF126854" xr:uid="{00000000-0004-0000-0300-000049020000}"/>
    <hyperlink ref="C294" r:id="rId587" display="http://reliability.mot.com/ALTV4/Reports/ALTTestReport_Functional.aspx?Test_Seqno=RF126833" xr:uid="{00000000-0004-0000-0300-00004A020000}"/>
    <hyperlink ref="T294" r:id="rId588" display="http://100.65.83.171/ReportServer/Pages/ReportViewer.aspx?%2fgALT_V3_Reports%2fAll+Failure+Info+Export&amp;rs:Command=Render&amp;rc:Parameters=False&amp;Test_Seqno=RF126833" xr:uid="{00000000-0004-0000-0300-00004B020000}"/>
    <hyperlink ref="C295" r:id="rId589" display="http://reliability.mot.com/ALTV4/Reports/ALTTestReport_Functional.aspx?Test_Seqno=WH126823" xr:uid="{00000000-0004-0000-0300-00004C020000}"/>
    <hyperlink ref="T295" r:id="rId590" display="http://100.65.83.171/ReportServer/Pages/ReportViewer.aspx?%2fgALT_V3_Reports%2fAll+Failure+Info+Export&amp;rs:Command=Render&amp;rc:Parameters=False&amp;Test_Seqno=WH126823" xr:uid="{00000000-0004-0000-0300-00004D020000}"/>
    <hyperlink ref="C296" r:id="rId591" display="http://reliability.mot.com/ALTV4/Reports/ALTTestReport_Functional.aspx?Test_Seqno=WH126809" xr:uid="{00000000-0004-0000-0300-00004E020000}"/>
    <hyperlink ref="T296" r:id="rId592" display="http://100.65.83.171/ReportServer/Pages/ReportViewer.aspx?%2fgALT_V3_Reports%2fAll+Failure+Info+Export&amp;rs:Command=Render&amp;rc:Parameters=False&amp;Test_Seqno=WH126809" xr:uid="{00000000-0004-0000-0300-00004F020000}"/>
    <hyperlink ref="C297" r:id="rId593" display="http://reliability.mot.com/ALTV4/Reports/ALTTestReport_Functional.aspx?Test_Seqno=WH126808" xr:uid="{00000000-0004-0000-0300-000050020000}"/>
    <hyperlink ref="T297" r:id="rId594" display="http://100.65.83.171/ReportServer/Pages/ReportViewer.aspx?%2fgALT_V3_Reports%2fAll+Failure+Info+Export&amp;rs:Command=Render&amp;rc:Parameters=False&amp;Test_Seqno=WH126808" xr:uid="{00000000-0004-0000-0300-000051020000}"/>
    <hyperlink ref="C298" r:id="rId595" display="http://reliability.mot.com/ALTV4/Reports/ALTTestReport_Functional.aspx?Test_Seqno=WH126807" xr:uid="{00000000-0004-0000-0300-000052020000}"/>
    <hyperlink ref="T298" r:id="rId596" display="http://100.65.83.171/ReportServer/Pages/ReportViewer.aspx?%2fgALT_V3_Reports%2fAll+Failure+Info+Export&amp;rs:Command=Render&amp;rc:Parameters=False&amp;Test_Seqno=WH126807" xr:uid="{00000000-0004-0000-0300-000053020000}"/>
    <hyperlink ref="C299" r:id="rId597" display="http://reliability.mot.com/ALTV4/Reports/ALTTestReport_Functional.aspx?Test_Seqno=RF126682" xr:uid="{00000000-0004-0000-0300-000054020000}"/>
    <hyperlink ref="T299" r:id="rId598" display="http://100.65.83.171/ReportServer/Pages/ReportViewer.aspx?%2fgALT_V3_Reports%2fAll+Failure+Info+Export&amp;rs:Command=Render&amp;rc:Parameters=False&amp;Test_Seqno=RF126682" xr:uid="{00000000-0004-0000-0300-000055020000}"/>
    <hyperlink ref="C300" r:id="rId599" display="http://reliability.mot.com/ALTV4/Reports/ALTTestReport_Functional.aspx?Test_Seqno=WH126663" xr:uid="{00000000-0004-0000-0300-000056020000}"/>
    <hyperlink ref="T300" r:id="rId600" display="http://100.65.83.171/ReportServer/Pages/ReportViewer.aspx?%2fgALT_V3_Reports%2fAll+Failure+Info+Export&amp;rs:Command=Render&amp;rc:Parameters=False&amp;Test_Seqno=WH126663" xr:uid="{00000000-0004-0000-0300-000057020000}"/>
    <hyperlink ref="C301" r:id="rId601" display="http://reliability.mot.com/ALTV4/Reports/ALTTestReport_Functional.aspx?Test_Seqno=RF126613" xr:uid="{00000000-0004-0000-0300-000058020000}"/>
    <hyperlink ref="T301" r:id="rId602" display="http://100.65.83.171/ReportServer/Pages/ReportViewer.aspx?%2fgALT_V3_Reports%2fAll+Failure+Info+Export&amp;rs:Command=Render&amp;rc:Parameters=False&amp;Test_Seqno=RF126613" xr:uid="{00000000-0004-0000-0300-000059020000}"/>
    <hyperlink ref="C302" r:id="rId603" display="http://reliability.mot.com/ALTV4/Reports/ALTTestReport_Functional.aspx?Test_Seqno=WH126552" xr:uid="{00000000-0004-0000-0300-00005A020000}"/>
    <hyperlink ref="T302" r:id="rId604" display="http://100.65.83.171/ReportServer/Pages/ReportViewer.aspx?%2fgALT_V3_Reports%2fAll+Failure+Info+Export&amp;rs:Command=Render&amp;rc:Parameters=False&amp;Test_Seqno=WH126552" xr:uid="{00000000-0004-0000-0300-00005B020000}"/>
    <hyperlink ref="C303" r:id="rId605" display="http://reliability.mot.com/ALTV4/Reports/ALTTestReport_Functional.aspx?Test_Seqno=WH126515" xr:uid="{00000000-0004-0000-0300-00005C020000}"/>
    <hyperlink ref="T303" r:id="rId606" display="http://100.65.83.171/ReportServer/Pages/ReportViewer.aspx?%2fgALT_V3_Reports%2fAll+Failure+Info+Export&amp;rs:Command=Render&amp;rc:Parameters=False&amp;Test_Seqno=WH126515" xr:uid="{00000000-0004-0000-0300-00005D020000}"/>
    <hyperlink ref="C304" r:id="rId607" display="http://reliability.mot.com/ALTV4/Reports/ALTTestReport_Functional.aspx?Test_Seqno=WH126503" xr:uid="{00000000-0004-0000-0300-00005E020000}"/>
    <hyperlink ref="T304" r:id="rId608" display="http://100.65.83.171/ReportServer/Pages/ReportViewer.aspx?%2fgALT_V3_Reports%2fAll+Failure+Info+Export&amp;rs:Command=Render&amp;rc:Parameters=False&amp;Test_Seqno=WH126503" xr:uid="{00000000-0004-0000-0300-00005F020000}"/>
    <hyperlink ref="C305" r:id="rId609" display="http://reliability.mot.com/ALTV4/Reports/ALTTestReport_Functional.aspx?Test_Seqno=WH126435" xr:uid="{00000000-0004-0000-0300-000060020000}"/>
    <hyperlink ref="T305" r:id="rId610" display="http://100.65.83.171/ReportServer/Pages/ReportViewer.aspx?%2fgALT_V3_Reports%2fAll+Failure+Info+Export&amp;rs:Command=Render&amp;rc:Parameters=False&amp;Test_Seqno=WH126435" xr:uid="{00000000-0004-0000-0300-000061020000}"/>
    <hyperlink ref="C306" r:id="rId611" display="http://reliability.mot.com/ALTV4/Reports/ALTTestReport_Functional.aspx?Test_Seqno=RF126401" xr:uid="{00000000-0004-0000-0300-000062020000}"/>
    <hyperlink ref="T306" r:id="rId612" display="http://100.65.83.171/ReportServer/Pages/ReportViewer.aspx?%2fgALT_V3_Reports%2fAll+Failure+Info+Export&amp;rs:Command=Render&amp;rc:Parameters=False&amp;Test_Seqno=RF126401" xr:uid="{00000000-0004-0000-0300-000063020000}"/>
    <hyperlink ref="C307" r:id="rId613" display="http://reliability.mot.com/ALTV4/Reports/ALTTestReport_Functional.aspx?Test_Seqno=RF126400" xr:uid="{00000000-0004-0000-0300-000064020000}"/>
    <hyperlink ref="T307" r:id="rId614" display="http://100.65.83.171/ReportServer/Pages/ReportViewer.aspx?%2fgALT_V3_Reports%2fAll+Failure+Info+Export&amp;rs:Command=Render&amp;rc:Parameters=False&amp;Test_Seqno=RF126400" xr:uid="{00000000-0004-0000-0300-000065020000}"/>
    <hyperlink ref="C308" r:id="rId615" display="http://reliability.mot.com/ALTV4/Reports/ALTTestReport_Functional.aspx?Test_Seqno=RF126399" xr:uid="{00000000-0004-0000-0300-000066020000}"/>
    <hyperlink ref="T308" r:id="rId616" display="http://100.65.83.171/ReportServer/Pages/ReportViewer.aspx?%2fgALT_V3_Reports%2fAll+Failure+Info+Export&amp;rs:Command=Render&amp;rc:Parameters=False&amp;Test_Seqno=RF126399" xr:uid="{00000000-0004-0000-0300-000067020000}"/>
    <hyperlink ref="C309" r:id="rId617" display="http://reliability.mot.com/ALTV4/Reports/ALTTestReport_Functional.aspx?Test_Seqno=RF126329" xr:uid="{00000000-0004-0000-0300-000068020000}"/>
    <hyperlink ref="T309" r:id="rId618" display="http://100.65.83.171/ReportServer/Pages/ReportViewer.aspx?%2fgALT_V3_Reports%2fAll+Failure+Info+Export&amp;rs:Command=Render&amp;rc:Parameters=False&amp;Test_Seqno=RF126329" xr:uid="{00000000-0004-0000-0300-000069020000}"/>
    <hyperlink ref="C310" r:id="rId619" display="http://reliability.mot.com/ALTV4/Reports/ALTTestReport_Functional.aspx?Test_Seqno=RF126324" xr:uid="{00000000-0004-0000-0300-00006A020000}"/>
    <hyperlink ref="T310" r:id="rId620" display="http://100.65.83.171/ReportServer/Pages/ReportViewer.aspx?%2fgALT_V3_Reports%2fAll+Failure+Info+Export&amp;rs:Command=Render&amp;rc:Parameters=False&amp;Test_Seqno=RF126324" xr:uid="{00000000-0004-0000-0300-00006B020000}"/>
    <hyperlink ref="C311" r:id="rId621" display="http://reliability.mot.com/ALTV4/Reports/ALTTestReport_Functional.aspx?Test_Seqno=RF126322" xr:uid="{00000000-0004-0000-0300-00006C020000}"/>
    <hyperlink ref="T311" r:id="rId622" display="http://100.65.83.171/ReportServer/Pages/ReportViewer.aspx?%2fgALT_V3_Reports%2fAll+Failure+Info+Export&amp;rs:Command=Render&amp;rc:Parameters=False&amp;Test_Seqno=RF126322" xr:uid="{00000000-0004-0000-0300-00006D020000}"/>
    <hyperlink ref="C312" r:id="rId623" display="http://reliability.mot.com/ALTV4/Reports/ALTTestReport_Functional.aspx?Test_Seqno=WH126266" xr:uid="{00000000-0004-0000-0300-00006E020000}"/>
    <hyperlink ref="T312" r:id="rId624" display="http://100.65.83.171/ReportServer/Pages/ReportViewer.aspx?%2fgALT_V3_Reports%2fAll+Failure+Info+Export&amp;rs:Command=Render&amp;rc:Parameters=False&amp;Test_Seqno=WH126266" xr:uid="{00000000-0004-0000-0300-00006F020000}"/>
    <hyperlink ref="C313" r:id="rId625" display="http://reliability.mot.com/ALTV4/Reports/ALTTestReport_Functional.aspx?Test_Seqno=WH126249" xr:uid="{00000000-0004-0000-0300-000070020000}"/>
    <hyperlink ref="T313" r:id="rId626" display="http://100.65.83.171/ReportServer/Pages/ReportViewer.aspx?%2fgALT_V3_Reports%2fAll+Failure+Info+Export&amp;rs:Command=Render&amp;rc:Parameters=False&amp;Test_Seqno=WH126249" xr:uid="{00000000-0004-0000-0300-000071020000}"/>
    <hyperlink ref="C314" r:id="rId627" display="http://reliability.mot.com/ALTV4/Reports/ALTTestReport_Functional.aspx?Test_Seqno=RF126160" xr:uid="{00000000-0004-0000-0300-000072020000}"/>
    <hyperlink ref="T314" r:id="rId628" display="http://100.65.83.171/ReportServer/Pages/ReportViewer.aspx?%2fgALT_V3_Reports%2fAll+Failure+Info+Export&amp;rs:Command=Render&amp;rc:Parameters=False&amp;Test_Seqno=RF126160" xr:uid="{00000000-0004-0000-0300-000073020000}"/>
    <hyperlink ref="C315" r:id="rId629" display="http://reliability.mot.com/ALTV4/Reports/ALTTestReport_Functional.aspx?Test_Seqno=WH126115" xr:uid="{00000000-0004-0000-0300-000074020000}"/>
    <hyperlink ref="T315" r:id="rId630" display="http://100.65.83.171/ReportServer/Pages/ReportViewer.aspx?%2fgALT_V3_Reports%2fAll+Failure+Info+Export&amp;rs:Command=Render&amp;rc:Parameters=False&amp;Test_Seqno=WH126115" xr:uid="{00000000-0004-0000-0300-000075020000}"/>
    <hyperlink ref="C316" r:id="rId631" display="http://reliability.mot.com/ALTV4/Reports/ALTTestReport_Functional.aspx?Test_Seqno=WH126095" xr:uid="{00000000-0004-0000-0300-000076020000}"/>
    <hyperlink ref="T316" r:id="rId632" display="http://100.65.83.171/ReportServer/Pages/ReportViewer.aspx?%2fgALT_V3_Reports%2fAll+Failure+Info+Export&amp;rs:Command=Render&amp;rc:Parameters=False&amp;Test_Seqno=WH126095" xr:uid="{00000000-0004-0000-0300-000077020000}"/>
    <hyperlink ref="C317" r:id="rId633" display="http://reliability.mot.com/ALTV4/Reports/ALTTestReport_Functional.aspx?Test_Seqno=WH126094" xr:uid="{00000000-0004-0000-0300-000078020000}"/>
    <hyperlink ref="T317" r:id="rId634" display="http://100.65.83.171/ReportServer/Pages/ReportViewer.aspx?%2fgALT_V3_Reports%2fAll+Failure+Info+Export&amp;rs:Command=Render&amp;rc:Parameters=False&amp;Test_Seqno=WH126094" xr:uid="{00000000-0004-0000-0300-000079020000}"/>
    <hyperlink ref="C318" r:id="rId635" display="http://reliability.mot.com/ALTV4/Reports/ALTTestReport_Functional.aspx?Test_Seqno=WH126093" xr:uid="{00000000-0004-0000-0300-00007A020000}"/>
    <hyperlink ref="T318" r:id="rId636" display="http://100.65.83.171/ReportServer/Pages/ReportViewer.aspx?%2fgALT_V3_Reports%2fAll+Failure+Info+Export&amp;rs:Command=Render&amp;rc:Parameters=False&amp;Test_Seqno=WH126093" xr:uid="{00000000-0004-0000-0300-00007B020000}"/>
    <hyperlink ref="C319" r:id="rId637" display="http://reliability.mot.com/ALTV4/Reports/ALTTestReport_Functional.aspx?Test_Seqno=WH126092" xr:uid="{00000000-0004-0000-0300-00007C020000}"/>
    <hyperlink ref="T319" r:id="rId638" display="http://100.65.83.171/ReportServer/Pages/ReportViewer.aspx?%2fgALT_V3_Reports%2fAll+Failure+Info+Export&amp;rs:Command=Render&amp;rc:Parameters=False&amp;Test_Seqno=WH126092" xr:uid="{00000000-0004-0000-0300-00007D020000}"/>
    <hyperlink ref="C320" r:id="rId639" display="http://reliability.mot.com/ALTV4/Reports/ALTTestReport_Functional.aspx?Test_Seqno=WH126091" xr:uid="{00000000-0004-0000-0300-00007E020000}"/>
    <hyperlink ref="T320" r:id="rId640" display="http://100.65.83.171/ReportServer/Pages/ReportViewer.aspx?%2fgALT_V3_Reports%2fAll+Failure+Info+Export&amp;rs:Command=Render&amp;rc:Parameters=False&amp;Test_Seqno=WH126091" xr:uid="{00000000-0004-0000-0300-00007F020000}"/>
    <hyperlink ref="C321" r:id="rId641" display="http://reliability.mot.com/ALTV4/Reports/ALTTestReport_Functional.aspx?Test_Seqno=WH126090" xr:uid="{00000000-0004-0000-0300-000080020000}"/>
    <hyperlink ref="T321" r:id="rId642" display="http://100.65.83.171/ReportServer/Pages/ReportViewer.aspx?%2fgALT_V3_Reports%2fAll+Failure+Info+Export&amp;rs:Command=Render&amp;rc:Parameters=False&amp;Test_Seqno=WH126090" xr:uid="{00000000-0004-0000-0300-000081020000}"/>
    <hyperlink ref="C322" r:id="rId643" display="http://reliability.mot.com/ALTV4/Reports/ALTTestReport_Functional.aspx?Test_Seqno=WH126089" xr:uid="{00000000-0004-0000-0300-000082020000}"/>
    <hyperlink ref="T322" r:id="rId644" display="http://100.65.83.171/ReportServer/Pages/ReportViewer.aspx?%2fgALT_V3_Reports%2fAll+Failure+Info+Export&amp;rs:Command=Render&amp;rc:Parameters=False&amp;Test_Seqno=WH126089" xr:uid="{00000000-0004-0000-0300-000083020000}"/>
    <hyperlink ref="C323" r:id="rId645" display="http://reliability.mot.com/ALTV4/Reports/ALTTestReport_Functional.aspx?Test_Seqno=WH126088" xr:uid="{00000000-0004-0000-0300-000084020000}"/>
    <hyperlink ref="T323" r:id="rId646" display="http://100.65.83.171/ReportServer/Pages/ReportViewer.aspx?%2fgALT_V3_Reports%2fAll+Failure+Info+Export&amp;rs:Command=Render&amp;rc:Parameters=False&amp;Test_Seqno=WH126088" xr:uid="{00000000-0004-0000-0300-000085020000}"/>
    <hyperlink ref="C324" r:id="rId647" display="http://reliability.mot.com/ALTV4/Reports/ALTTestReport_Functional.aspx?Test_Seqno=WH126087" xr:uid="{00000000-0004-0000-0300-000086020000}"/>
    <hyperlink ref="T324" r:id="rId648" display="http://100.65.83.171/ReportServer/Pages/ReportViewer.aspx?%2fgALT_V3_Reports%2fAll+Failure+Info+Export&amp;rs:Command=Render&amp;rc:Parameters=False&amp;Test_Seqno=WH126087" xr:uid="{00000000-0004-0000-0300-000087020000}"/>
    <hyperlink ref="C325" r:id="rId649" display="http://reliability.mot.com/ALTV4/Reports/ALTTestReport_Functional.aspx?Test_Seqno=WH126086" xr:uid="{00000000-0004-0000-0300-000088020000}"/>
    <hyperlink ref="T325" r:id="rId650" display="http://100.65.83.171/ReportServer/Pages/ReportViewer.aspx?%2fgALT_V3_Reports%2fAll+Failure+Info+Export&amp;rs:Command=Render&amp;rc:Parameters=False&amp;Test_Seqno=WH126086" xr:uid="{00000000-0004-0000-0300-000089020000}"/>
    <hyperlink ref="C326" r:id="rId651" display="http://reliability.mot.com/ALTV4/Reports/ALTTestReport_Functional.aspx?Test_Seqno=WH126085" xr:uid="{00000000-0004-0000-0300-00008A020000}"/>
    <hyperlink ref="T326" r:id="rId652" display="http://100.65.83.171/ReportServer/Pages/ReportViewer.aspx?%2fgALT_V3_Reports%2fAll+Failure+Info+Export&amp;rs:Command=Render&amp;rc:Parameters=False&amp;Test_Seqno=WH126085" xr:uid="{00000000-0004-0000-0300-00008B020000}"/>
    <hyperlink ref="C327" r:id="rId653" display="http://reliability.mot.com/ALTV4/Reports/ALTTestReport_Functional.aspx?Test_Seqno=WH126084" xr:uid="{00000000-0004-0000-0300-00008C020000}"/>
    <hyperlink ref="T327" r:id="rId654" display="http://100.65.83.171/ReportServer/Pages/ReportViewer.aspx?%2fgALT_V3_Reports%2fAll+Failure+Info+Export&amp;rs:Command=Render&amp;rc:Parameters=False&amp;Test_Seqno=WH126084" xr:uid="{00000000-0004-0000-0300-00008D020000}"/>
    <hyperlink ref="C328" r:id="rId655" display="http://reliability.mot.com/ALTV4/Reports/ALTTestReport_Functional.aspx?Test_Seqno=WH126083" xr:uid="{00000000-0004-0000-0300-00008E020000}"/>
    <hyperlink ref="T328" r:id="rId656" display="http://100.65.83.171/ReportServer/Pages/ReportViewer.aspx?%2fgALT_V3_Reports%2fAll+Failure+Info+Export&amp;rs:Command=Render&amp;rc:Parameters=False&amp;Test_Seqno=WH126083" xr:uid="{00000000-0004-0000-0300-00008F020000}"/>
    <hyperlink ref="C329" r:id="rId657" display="http://reliability.mot.com/ALTV4/Reports/ALTTestReport_Functional.aspx?Test_Seqno=WH126082" xr:uid="{00000000-0004-0000-0300-000090020000}"/>
    <hyperlink ref="T329" r:id="rId658" display="http://100.65.83.171/ReportServer/Pages/ReportViewer.aspx?%2fgALT_V3_Reports%2fAll+Failure+Info+Export&amp;rs:Command=Render&amp;rc:Parameters=False&amp;Test_Seqno=WH126082" xr:uid="{00000000-0004-0000-0300-000091020000}"/>
    <hyperlink ref="C330" r:id="rId659" display="http://reliability.mot.com/ALTV4/Reports/ALTTestReport_Functional.aspx?Test_Seqno=WH126081" xr:uid="{00000000-0004-0000-0300-000092020000}"/>
    <hyperlink ref="T330" r:id="rId660" display="http://100.65.83.171/ReportServer/Pages/ReportViewer.aspx?%2fgALT_V3_Reports%2fAll+Failure+Info+Export&amp;rs:Command=Render&amp;rc:Parameters=False&amp;Test_Seqno=WH126081" xr:uid="{00000000-0004-0000-0300-000093020000}"/>
    <hyperlink ref="C331" r:id="rId661" display="http://reliability.mot.com/ALTV4/Reports/ALTTestReport_Functional.aspx?Test_Seqno=WH126080" xr:uid="{00000000-0004-0000-0300-000094020000}"/>
    <hyperlink ref="T331" r:id="rId662" display="http://100.65.83.171/ReportServer/Pages/ReportViewer.aspx?%2fgALT_V3_Reports%2fAll+Failure+Info+Export&amp;rs:Command=Render&amp;rc:Parameters=False&amp;Test_Seqno=WH126080" xr:uid="{00000000-0004-0000-0300-000095020000}"/>
    <hyperlink ref="C332" r:id="rId663" display="http://reliability.mot.com/ALTV4/Reports/ALTTestReport_Functional.aspx?Test_Seqno=WH126079" xr:uid="{00000000-0004-0000-0300-000096020000}"/>
    <hyperlink ref="T332" r:id="rId664" display="http://100.65.83.171/ReportServer/Pages/ReportViewer.aspx?%2fgALT_V3_Reports%2fAll+Failure+Info+Export&amp;rs:Command=Render&amp;rc:Parameters=False&amp;Test_Seqno=WH126079" xr:uid="{00000000-0004-0000-0300-000097020000}"/>
    <hyperlink ref="C333" r:id="rId665" display="http://reliability.mot.com/ALTV4/Reports/ALTTestReport_Functional.aspx?Test_Seqno=RF126078" xr:uid="{00000000-0004-0000-0300-000098020000}"/>
    <hyperlink ref="T333" r:id="rId666" display="http://100.65.83.171/ReportServer/Pages/ReportViewer.aspx?%2fgALT_V3_Reports%2fAll+Failure+Info+Export&amp;rs:Command=Render&amp;rc:Parameters=False&amp;Test_Seqno=RF126078" xr:uid="{00000000-0004-0000-0300-000099020000}"/>
    <hyperlink ref="C334" r:id="rId667" display="http://reliability.mot.com/ALTV4/Reports/ALTTestReport_Functional.aspx?Test_Seqno=WH125958" xr:uid="{00000000-0004-0000-0300-00009A020000}"/>
    <hyperlink ref="T334" r:id="rId668" display="http://100.65.83.171/ReportServer/Pages/ReportViewer.aspx?%2fgALT_V3_Reports%2fAll+Failure+Info+Export&amp;rs:Command=Render&amp;rc:Parameters=False&amp;Test_Seqno=WH125958" xr:uid="{00000000-0004-0000-0300-00009B020000}"/>
    <hyperlink ref="C335" r:id="rId669" display="http://reliability.mot.com/ALTV4/Reports/ALTTestReport_Functional.aspx?Test_Seqno=WH125957" xr:uid="{00000000-0004-0000-0300-00009C020000}"/>
    <hyperlink ref="T335" r:id="rId670" display="http://100.65.83.171/ReportServer/Pages/ReportViewer.aspx?%2fgALT_V3_Reports%2fAll+Failure+Info+Export&amp;rs:Command=Render&amp;rc:Parameters=False&amp;Test_Seqno=WH125957" xr:uid="{00000000-0004-0000-0300-00009D020000}"/>
    <hyperlink ref="C336" r:id="rId671" display="http://reliability.mot.com/ALTV4/Reports/ALTTestReport_Functional.aspx?Test_Seqno=WH125956" xr:uid="{00000000-0004-0000-0300-00009E020000}"/>
    <hyperlink ref="T336" r:id="rId672" display="http://100.65.83.171/ReportServer/Pages/ReportViewer.aspx?%2fgALT_V3_Reports%2fAll+Failure+Info+Export&amp;rs:Command=Render&amp;rc:Parameters=False&amp;Test_Seqno=WH125956" xr:uid="{00000000-0004-0000-0300-00009F020000}"/>
    <hyperlink ref="C337" r:id="rId673" display="http://reliability.mot.com/ALTV4/Reports/ALTTestReport_Functional.aspx?Test_Seqno=RF125903" xr:uid="{00000000-0004-0000-0300-0000A0020000}"/>
    <hyperlink ref="T337" r:id="rId674" display="http://100.65.83.171/ReportServer/Pages/ReportViewer.aspx?%2fgALT_V3_Reports%2fAll+Failure+Info+Export&amp;rs:Command=Render&amp;rc:Parameters=False&amp;Test_Seqno=RF125903" xr:uid="{00000000-0004-0000-0300-0000A1020000}"/>
    <hyperlink ref="C338" r:id="rId675" display="http://reliability.mot.com/ALTV4/Reports/ALTTestReport_Functional.aspx?Test_Seqno=WH125897" xr:uid="{00000000-0004-0000-0300-0000A2020000}"/>
    <hyperlink ref="T338" r:id="rId676" display="http://100.65.83.171/ReportServer/Pages/ReportViewer.aspx?%2fgALT_V3_Reports%2fAll+Failure+Info+Export&amp;rs:Command=Render&amp;rc:Parameters=False&amp;Test_Seqno=WH125897" xr:uid="{00000000-0004-0000-0300-0000A3020000}"/>
    <hyperlink ref="C339" r:id="rId677" display="http://reliability.mot.com/ALTV4/Reports/ALTTestReport_Functional.aspx?Test_Seqno=RF125894" xr:uid="{00000000-0004-0000-0300-0000A4020000}"/>
    <hyperlink ref="T339" r:id="rId678" display="http://100.65.83.171/ReportServer/Pages/ReportViewer.aspx?%2fgALT_V3_Reports%2fAll+Failure+Info+Export&amp;rs:Command=Render&amp;rc:Parameters=False&amp;Test_Seqno=RF125894" xr:uid="{00000000-0004-0000-0300-0000A5020000}"/>
    <hyperlink ref="C340" r:id="rId679" display="http://reliability.mot.com/ALTV4/Reports/ALTTestReport_Functional.aspx?Test_Seqno=WH125794" xr:uid="{00000000-0004-0000-0300-0000A6020000}"/>
    <hyperlink ref="T340" r:id="rId680" display="http://100.65.83.171/ReportServer/Pages/ReportViewer.aspx?%2fgALT_V3_Reports%2fAll+Failure+Info+Export&amp;rs:Command=Render&amp;rc:Parameters=False&amp;Test_Seqno=WH125794" xr:uid="{00000000-0004-0000-0300-0000A7020000}"/>
    <hyperlink ref="C341" r:id="rId681" display="http://reliability.mot.com/ALTV4/Reports/ALTTestReport_Functional.aspx?Test_Seqno=RF125747" xr:uid="{00000000-0004-0000-0300-0000A8020000}"/>
    <hyperlink ref="T341" r:id="rId682" display="http://100.65.83.171/ReportServer/Pages/ReportViewer.aspx?%2fgALT_V3_Reports%2fAll+Failure+Info+Export&amp;rs:Command=Render&amp;rc:Parameters=False&amp;Test_Seqno=RF125747" xr:uid="{00000000-0004-0000-0300-0000A9020000}"/>
    <hyperlink ref="C342" r:id="rId683" display="http://reliability.mot.com/ALTV4/Reports/ALTTestReport_Functional.aspx?Test_Seqno=RF125683" xr:uid="{00000000-0004-0000-0300-0000AA020000}"/>
    <hyperlink ref="T342" r:id="rId684" display="http://100.65.83.171/ReportServer/Pages/ReportViewer.aspx?%2fgALT_V3_Reports%2fAll+Failure+Info+Export&amp;rs:Command=Render&amp;rc:Parameters=False&amp;Test_Seqno=RF125683" xr:uid="{00000000-0004-0000-0300-0000AB020000}"/>
    <hyperlink ref="C343" r:id="rId685" display="http://reliability.mot.com/ALTV4/Reports/ALTTestReport_Functional.aspx?Test_Seqno=WH125607" xr:uid="{00000000-0004-0000-0300-0000AC020000}"/>
    <hyperlink ref="T343" r:id="rId686" display="http://100.65.83.171/ReportServer/Pages/ReportViewer.aspx?%2fgALT_V3_Reports%2fAll+Failure+Info+Export&amp;rs:Command=Render&amp;rc:Parameters=False&amp;Test_Seqno=WH125607" xr:uid="{00000000-0004-0000-0300-0000AD020000}"/>
    <hyperlink ref="C344" r:id="rId687" display="http://reliability.mot.com/ALTV4/Reports/ALTTestReport_Functional.aspx?Test_Seqno=WH125466" xr:uid="{00000000-0004-0000-0300-0000AE020000}"/>
    <hyperlink ref="T344" r:id="rId688" display="http://100.65.83.171/ReportServer/Pages/ReportViewer.aspx?%2fgALT_V3_Reports%2fAll+Failure+Info+Export&amp;rs:Command=Render&amp;rc:Parameters=False&amp;Test_Seqno=WH125466" xr:uid="{00000000-0004-0000-0300-0000AF020000}"/>
    <hyperlink ref="C345" r:id="rId689" display="http://reliability.mot.com/ALTV4/Reports/ALTTestReport_Functional.aspx?Test_Seqno=WH125465" xr:uid="{00000000-0004-0000-0300-0000B0020000}"/>
    <hyperlink ref="T345" r:id="rId690" display="http://100.65.83.171/ReportServer/Pages/ReportViewer.aspx?%2fgALT_V3_Reports%2fAll+Failure+Info+Export&amp;rs:Command=Render&amp;rc:Parameters=False&amp;Test_Seqno=WH125465" xr:uid="{00000000-0004-0000-0300-0000B1020000}"/>
    <hyperlink ref="C346" r:id="rId691" display="http://reliability.mot.com/ALTV4/Reports/ALTTestReport_Functional.aspx?Test_Seqno=WH125464" xr:uid="{00000000-0004-0000-0300-0000B2020000}"/>
    <hyperlink ref="T346" r:id="rId692" display="http://100.65.83.171/ReportServer/Pages/ReportViewer.aspx?%2fgALT_V3_Reports%2fAll+Failure+Info+Export&amp;rs:Command=Render&amp;rc:Parameters=False&amp;Test_Seqno=WH125464" xr:uid="{00000000-0004-0000-0300-0000B3020000}"/>
    <hyperlink ref="C347" r:id="rId693" display="http://reliability.mot.com/ALTV4/Reports/ALTTestReport_Functional.aspx?Test_Seqno=RF125375" xr:uid="{00000000-0004-0000-0300-0000B4020000}"/>
    <hyperlink ref="T347" r:id="rId694" display="http://100.65.83.171/ReportServer/Pages/ReportViewer.aspx?%2fgALT_V3_Reports%2fAll+Failure+Info+Export&amp;rs:Command=Render&amp;rc:Parameters=False&amp;Test_Seqno=RF125375" xr:uid="{00000000-0004-0000-0300-0000B5020000}"/>
    <hyperlink ref="C348" r:id="rId695" display="http://reliability.mot.com/ALTV4/Reports/ALTTestReport_Functional.aspx?Test_Seqno=RF125374" xr:uid="{00000000-0004-0000-0300-0000B6020000}"/>
    <hyperlink ref="T348" r:id="rId696" display="http://100.65.83.171/ReportServer/Pages/ReportViewer.aspx?%2fgALT_V3_Reports%2fAll+Failure+Info+Export&amp;rs:Command=Render&amp;rc:Parameters=False&amp;Test_Seqno=RF125374" xr:uid="{00000000-0004-0000-0300-0000B7020000}"/>
    <hyperlink ref="C349" r:id="rId697" display="http://reliability.mot.com/ALTV4/Reports/ALTTestReport_Functional.aspx?Test_Seqno=RF125373" xr:uid="{00000000-0004-0000-0300-0000B8020000}"/>
    <hyperlink ref="T349" r:id="rId698" display="http://100.65.83.171/ReportServer/Pages/ReportViewer.aspx?%2fgALT_V3_Reports%2fAll+Failure+Info+Export&amp;rs:Command=Render&amp;rc:Parameters=False&amp;Test_Seqno=RF125373" xr:uid="{00000000-0004-0000-0300-0000B9020000}"/>
    <hyperlink ref="C350" r:id="rId699" display="http://reliability.mot.com/ALTV4/Reports/ALTTestReport_Functional.aspx?Test_Seqno=RF125372" xr:uid="{00000000-0004-0000-0300-0000BA020000}"/>
    <hyperlink ref="T350" r:id="rId700" display="http://100.65.83.171/ReportServer/Pages/ReportViewer.aspx?%2fgALT_V3_Reports%2fAll+Failure+Info+Export&amp;rs:Command=Render&amp;rc:Parameters=False&amp;Test_Seqno=RF125372" xr:uid="{00000000-0004-0000-0300-0000BB020000}"/>
    <hyperlink ref="C351" r:id="rId701" display="http://reliability.mot.com/ALTV4/Reports/ALTTestReport_Functional.aspx?Test_Seqno=WH125339" xr:uid="{00000000-0004-0000-0300-0000BC020000}"/>
    <hyperlink ref="T351" r:id="rId702" display="http://100.65.83.171/ReportServer/Pages/ReportViewer.aspx?%2fgALT_V3_Reports%2fAll+Failure+Info+Export&amp;rs:Command=Render&amp;rc:Parameters=False&amp;Test_Seqno=WH125339" xr:uid="{00000000-0004-0000-0300-0000BD020000}"/>
    <hyperlink ref="C352" r:id="rId703" display="http://reliability.mot.com/ALTV4/Reports/ALTTestReport_Functional.aspx?Test_Seqno=WH125257" xr:uid="{00000000-0004-0000-0300-0000BE020000}"/>
    <hyperlink ref="T352" r:id="rId704" display="http://100.65.83.171/ReportServer/Pages/ReportViewer.aspx?%2fgALT_V3_Reports%2fAll+Failure+Info+Export&amp;rs:Command=Render&amp;rc:Parameters=False&amp;Test_Seqno=WH125257" xr:uid="{00000000-0004-0000-0300-0000BF020000}"/>
    <hyperlink ref="C353" r:id="rId705" display="http://reliability.mot.com/ALTV4/Reports/ALTTestReport_Functional.aspx?Test_Seqno=WH125256" xr:uid="{00000000-0004-0000-0300-0000C0020000}"/>
    <hyperlink ref="T353" r:id="rId706" display="http://100.65.83.171/ReportServer/Pages/ReportViewer.aspx?%2fgALT_V3_Reports%2fAll+Failure+Info+Export&amp;rs:Command=Render&amp;rc:Parameters=False&amp;Test_Seqno=WH125256" xr:uid="{00000000-0004-0000-0300-0000C1020000}"/>
    <hyperlink ref="C354" r:id="rId707" display="http://reliability.mot.com/ALTV4/Reports/ALTTestReport_Functional.aspx?Test_Seqno=WH125255" xr:uid="{00000000-0004-0000-0300-0000C2020000}"/>
    <hyperlink ref="T354" r:id="rId708" display="http://100.65.83.171/ReportServer/Pages/ReportViewer.aspx?%2fgALT_V3_Reports%2fAll+Failure+Info+Export&amp;rs:Command=Render&amp;rc:Parameters=False&amp;Test_Seqno=WH125255" xr:uid="{00000000-0004-0000-0300-0000C3020000}"/>
    <hyperlink ref="C355" r:id="rId709" display="http://reliability.mot.com/ALTV4/Reports/ALTTestReport_Functional.aspx?Test_Seqno=WH125254" xr:uid="{00000000-0004-0000-0300-0000C4020000}"/>
    <hyperlink ref="T355" r:id="rId710" display="http://100.65.83.171/ReportServer/Pages/ReportViewer.aspx?%2fgALT_V3_Reports%2fAll+Failure+Info+Export&amp;rs:Command=Render&amp;rc:Parameters=False&amp;Test_Seqno=WH125254" xr:uid="{00000000-0004-0000-0300-0000C5020000}"/>
    <hyperlink ref="C356" r:id="rId711" display="http://reliability.mot.com/ALTV4/Reports/ALTTestReport_Functional.aspx?Test_Seqno=WH125253" xr:uid="{00000000-0004-0000-0300-0000C6020000}"/>
    <hyperlink ref="T356" r:id="rId712" display="http://100.65.83.171/ReportServer/Pages/ReportViewer.aspx?%2fgALT_V3_Reports%2fAll+Failure+Info+Export&amp;rs:Command=Render&amp;rc:Parameters=False&amp;Test_Seqno=WH125253" xr:uid="{00000000-0004-0000-0300-0000C7020000}"/>
    <hyperlink ref="C357" r:id="rId713" display="http://reliability.mot.com/ALTV4/Reports/ALTTestReport_Functional.aspx?Test_Seqno=WH125252" xr:uid="{00000000-0004-0000-0300-0000C8020000}"/>
    <hyperlink ref="T357" r:id="rId714" display="http://100.65.83.171/ReportServer/Pages/ReportViewer.aspx?%2fgALT_V3_Reports%2fAll+Failure+Info+Export&amp;rs:Command=Render&amp;rc:Parameters=False&amp;Test_Seqno=WH125252" xr:uid="{00000000-0004-0000-0300-0000C9020000}"/>
    <hyperlink ref="C358" r:id="rId715" display="http://reliability.mot.com/ALTV4/Reports/ALTTestReport_Functional.aspx?Test_Seqno=WH125251" xr:uid="{00000000-0004-0000-0300-0000CA020000}"/>
    <hyperlink ref="T358" r:id="rId716" display="http://100.65.83.171/ReportServer/Pages/ReportViewer.aspx?%2fgALT_V3_Reports%2fAll+Failure+Info+Export&amp;rs:Command=Render&amp;rc:Parameters=False&amp;Test_Seqno=WH125251" xr:uid="{00000000-0004-0000-0300-0000CB020000}"/>
    <hyperlink ref="C359" r:id="rId717" display="http://reliability.mot.com/ALTV4/Reports/ALTTestReport_Functional.aspx?Test_Seqno=WH125250" xr:uid="{00000000-0004-0000-0300-0000CC020000}"/>
    <hyperlink ref="T359" r:id="rId718" display="http://100.65.83.171/ReportServer/Pages/ReportViewer.aspx?%2fgALT_V3_Reports%2fAll+Failure+Info+Export&amp;rs:Command=Render&amp;rc:Parameters=False&amp;Test_Seqno=WH125250" xr:uid="{00000000-0004-0000-0300-0000CD020000}"/>
    <hyperlink ref="C360" r:id="rId719" display="http://reliability.mot.com/ALTV4/Reports/ALTTestReport_Functional.aspx?Test_Seqno=WH125249" xr:uid="{00000000-0004-0000-0300-0000CE020000}"/>
    <hyperlink ref="T360" r:id="rId720" display="http://100.65.83.171/ReportServer/Pages/ReportViewer.aspx?%2fgALT_V3_Reports%2fAll+Failure+Info+Export&amp;rs:Command=Render&amp;rc:Parameters=False&amp;Test_Seqno=WH125249" xr:uid="{00000000-0004-0000-0300-0000CF020000}"/>
    <hyperlink ref="C361" r:id="rId721" display="http://reliability.mot.com/ALTV4/Reports/ALTTestReport_Functional.aspx?Test_Seqno=WH125248" xr:uid="{00000000-0004-0000-0300-0000D0020000}"/>
    <hyperlink ref="T361" r:id="rId722" display="http://100.65.83.171/ReportServer/Pages/ReportViewer.aspx?%2fgALT_V3_Reports%2fAll+Failure+Info+Export&amp;rs:Command=Render&amp;rc:Parameters=False&amp;Test_Seqno=WH125248" xr:uid="{00000000-0004-0000-0300-0000D1020000}"/>
    <hyperlink ref="C362" r:id="rId723" display="http://reliability.mot.com/ALTV4/Reports/ALTTestReport_Functional.aspx?Test_Seqno=WH125246" xr:uid="{00000000-0004-0000-0300-0000D2020000}"/>
    <hyperlink ref="T362" r:id="rId724" display="http://100.65.83.171/ReportServer/Pages/ReportViewer.aspx?%2fgALT_V3_Reports%2fAll+Failure+Info+Export&amp;rs:Command=Render&amp;rc:Parameters=False&amp;Test_Seqno=WH125246" xr:uid="{00000000-0004-0000-0300-0000D3020000}"/>
    <hyperlink ref="C363" r:id="rId725" display="http://reliability.mot.com/ALTV4/Reports/ALTTestReport_Functional.aspx?Test_Seqno=WH125245" xr:uid="{00000000-0004-0000-0300-0000D4020000}"/>
    <hyperlink ref="T363" r:id="rId726" display="http://100.65.83.171/ReportServer/Pages/ReportViewer.aspx?%2fgALT_V3_Reports%2fAll+Failure+Info+Export&amp;rs:Command=Render&amp;rc:Parameters=False&amp;Test_Seqno=WH125245" xr:uid="{00000000-0004-0000-0300-0000D5020000}"/>
    <hyperlink ref="C364" r:id="rId727" display="http://reliability.mot.com/ALTV4/Reports/ALTTestReport_Functional.aspx?Test_Seqno=WH125244" xr:uid="{00000000-0004-0000-0300-0000D6020000}"/>
    <hyperlink ref="T364" r:id="rId728" display="http://100.65.83.171/ReportServer/Pages/ReportViewer.aspx?%2fgALT_V3_Reports%2fAll+Failure+Info+Export&amp;rs:Command=Render&amp;rc:Parameters=False&amp;Test_Seqno=WH125244" xr:uid="{00000000-0004-0000-0300-0000D7020000}"/>
    <hyperlink ref="C365" r:id="rId729" display="http://reliability.mot.com/ALTV4/Reports/ALTTestReport_Functional.aspx?Test_Seqno=WH125243" xr:uid="{00000000-0004-0000-0300-0000D8020000}"/>
    <hyperlink ref="T365" r:id="rId730" display="http://100.65.83.171/ReportServer/Pages/ReportViewer.aspx?%2fgALT_V3_Reports%2fAll+Failure+Info+Export&amp;rs:Command=Render&amp;rc:Parameters=False&amp;Test_Seqno=WH125243" xr:uid="{00000000-0004-0000-0300-0000D9020000}"/>
    <hyperlink ref="C366" r:id="rId731" display="http://reliability.mot.com/ALTV4/Reports/ALTTestReport_Functional.aspx?Test_Seqno=WH125242" xr:uid="{00000000-0004-0000-0300-0000DA020000}"/>
    <hyperlink ref="T366" r:id="rId732" display="http://100.65.83.171/ReportServer/Pages/ReportViewer.aspx?%2fgALT_V3_Reports%2fAll+Failure+Info+Export&amp;rs:Command=Render&amp;rc:Parameters=False&amp;Test_Seqno=WH125242" xr:uid="{00000000-0004-0000-0300-0000DB020000}"/>
    <hyperlink ref="C367" r:id="rId733" display="http://reliability.mot.com/ALTV4/Reports/ALTTestReport_Functional.aspx?Test_Seqno=WH125241" xr:uid="{00000000-0004-0000-0300-0000DC020000}"/>
    <hyperlink ref="T367" r:id="rId734" display="http://100.65.83.171/ReportServer/Pages/ReportViewer.aspx?%2fgALT_V3_Reports%2fAll+Failure+Info+Export&amp;rs:Command=Render&amp;rc:Parameters=False&amp;Test_Seqno=WH125241" xr:uid="{00000000-0004-0000-0300-0000DD020000}"/>
    <hyperlink ref="C368" r:id="rId735" display="http://reliability.mot.com/ALTV4/Reports/ALTTestReport_Functional.aspx?Test_Seqno=WH125240" xr:uid="{00000000-0004-0000-0300-0000DE020000}"/>
    <hyperlink ref="T368" r:id="rId736" display="http://100.65.83.171/ReportServer/Pages/ReportViewer.aspx?%2fgALT_V3_Reports%2fAll+Failure+Info+Export&amp;rs:Command=Render&amp;rc:Parameters=False&amp;Test_Seqno=WH125240" xr:uid="{00000000-0004-0000-0300-0000DF020000}"/>
    <hyperlink ref="C369" r:id="rId737" display="http://reliability.mot.com/ALTV4/Reports/ALTTestReport_Functional.aspx?Test_Seqno=WH125239" xr:uid="{00000000-0004-0000-0300-0000E0020000}"/>
    <hyperlink ref="T369" r:id="rId738" display="http://100.65.83.171/ReportServer/Pages/ReportViewer.aspx?%2fgALT_V3_Reports%2fAll+Failure+Info+Export&amp;rs:Command=Render&amp;rc:Parameters=False&amp;Test_Seqno=WH125239" xr:uid="{00000000-0004-0000-0300-0000E1020000}"/>
    <hyperlink ref="C370" r:id="rId739" display="http://reliability.mot.com/ALTV4/Reports/ALTTestReport_Functional.aspx?Test_Seqno=WH125238" xr:uid="{00000000-0004-0000-0300-0000E2020000}"/>
    <hyperlink ref="T370" r:id="rId740" display="http://100.65.83.171/ReportServer/Pages/ReportViewer.aspx?%2fgALT_V3_Reports%2fAll+Failure+Info+Export&amp;rs:Command=Render&amp;rc:Parameters=False&amp;Test_Seqno=WH125238" xr:uid="{00000000-0004-0000-0300-0000E3020000}"/>
    <hyperlink ref="C371" r:id="rId741" display="http://reliability.mot.com/ALTV4/Reports/ALTTestReport_Functional.aspx?Test_Seqno=WH125237" xr:uid="{00000000-0004-0000-0300-0000E4020000}"/>
    <hyperlink ref="T371" r:id="rId742" display="http://100.65.83.171/ReportServer/Pages/ReportViewer.aspx?%2fgALT_V3_Reports%2fAll+Failure+Info+Export&amp;rs:Command=Render&amp;rc:Parameters=False&amp;Test_Seqno=WH125237" xr:uid="{00000000-0004-0000-0300-0000E5020000}"/>
    <hyperlink ref="C372" r:id="rId743" display="http://reliability.mot.com/ALTV4/Reports/ALTTestReport_Functional.aspx?Test_Seqno=RF125236" xr:uid="{00000000-0004-0000-0300-0000E6020000}"/>
    <hyperlink ref="T372" r:id="rId744" display="http://100.65.83.171/ReportServer/Pages/ReportViewer.aspx?%2fgALT_V3_Reports%2fAll+Failure+Info+Export&amp;rs:Command=Render&amp;rc:Parameters=False&amp;Test_Seqno=RF125236" xr:uid="{00000000-0004-0000-0300-0000E7020000}"/>
    <hyperlink ref="C373" r:id="rId745" display="http://reliability.mot.com/ALTV4/Reports/ALTTestReport_Functional.aspx?Test_Seqno=WH125131" xr:uid="{00000000-0004-0000-0300-0000E8020000}"/>
    <hyperlink ref="T373" r:id="rId746" display="http://100.65.83.171/ReportServer/Pages/ReportViewer.aspx?%2fgALT_V3_Reports%2fAll+Failure+Info+Export&amp;rs:Command=Render&amp;rc:Parameters=False&amp;Test_Seqno=WH125131" xr:uid="{00000000-0004-0000-0300-0000E9020000}"/>
    <hyperlink ref="C374" r:id="rId747" display="http://reliability.mot.com/ALTV4/Reports/ALTTestReport_Functional.aspx?Test_Seqno=WH125123" xr:uid="{00000000-0004-0000-0300-0000EA020000}"/>
    <hyperlink ref="T374" r:id="rId748" display="http://100.65.83.171/ReportServer/Pages/ReportViewer.aspx?%2fgALT_V3_Reports%2fAll+Failure+Info+Export&amp;rs:Command=Render&amp;rc:Parameters=False&amp;Test_Seqno=WH125123" xr:uid="{00000000-0004-0000-0300-0000EB020000}"/>
    <hyperlink ref="C375" r:id="rId749" display="http://reliability.mot.com/ALTV4/Reports/ALTTestReport_Functional.aspx?Test_Seqno=RF124960" xr:uid="{00000000-0004-0000-0300-0000EC020000}"/>
    <hyperlink ref="T375" r:id="rId750" display="http://100.65.83.171/ReportServer/Pages/ReportViewer.aspx?%2fgALT_V3_Reports%2fAll+Failure+Info+Export&amp;rs:Command=Render&amp;rc:Parameters=False&amp;Test_Seqno=RF124960" xr:uid="{00000000-0004-0000-0300-0000ED020000}"/>
    <hyperlink ref="C376" r:id="rId751" display="http://reliability.mot.com/ALTV4/Reports/ALTTestReport_Functional.aspx?Test_Seqno=RF124872" xr:uid="{00000000-0004-0000-0300-0000EE020000}"/>
    <hyperlink ref="T376" r:id="rId752" display="http://100.65.83.171/ReportServer/Pages/ReportViewer.aspx?%2fgALT_V3_Reports%2fAll+Failure+Info+Export&amp;rs:Command=Render&amp;rc:Parameters=False&amp;Test_Seqno=RF124872" xr:uid="{00000000-0004-0000-0300-0000EF020000}"/>
    <hyperlink ref="C377" r:id="rId753" display="http://reliability.mot.com/ALTV4/Reports/ALTTestReport_Functional.aspx?Test_Seqno=RF124848" xr:uid="{00000000-0004-0000-0300-0000F0020000}"/>
    <hyperlink ref="T377" r:id="rId754" display="http://100.65.83.171/ReportServer/Pages/ReportViewer.aspx?%2fgALT_V3_Reports%2fAll+Failure+Info+Export&amp;rs:Command=Render&amp;rc:Parameters=False&amp;Test_Seqno=RF124848" xr:uid="{00000000-0004-0000-0300-0000F1020000}"/>
    <hyperlink ref="C378" r:id="rId755" display="http://reliability.mot.com/ALTV4/Reports/ALTTestReport_Functional.aspx?Test_Seqno=RF124834" xr:uid="{00000000-0004-0000-0300-0000F2020000}"/>
    <hyperlink ref="T378" r:id="rId756" display="http://100.65.83.171/ReportServer/Pages/ReportViewer.aspx?%2fgALT_V3_Reports%2fAll+Failure+Info+Export&amp;rs:Command=Render&amp;rc:Parameters=False&amp;Test_Seqno=RF124834" xr:uid="{00000000-0004-0000-0300-0000F3020000}"/>
    <hyperlink ref="C379" r:id="rId757" display="http://reliability.mot.com/ALTV4/Reports/ALTTestReport_Functional.aspx?Test_Seqno=RF124833" xr:uid="{00000000-0004-0000-0300-0000F4020000}"/>
    <hyperlink ref="T379" r:id="rId758" display="http://100.65.83.171/ReportServer/Pages/ReportViewer.aspx?%2fgALT_V3_Reports%2fAll+Failure+Info+Export&amp;rs:Command=Render&amp;rc:Parameters=False&amp;Test_Seqno=RF124833" xr:uid="{00000000-0004-0000-0300-0000F5020000}"/>
    <hyperlink ref="C380" r:id="rId759" display="http://reliability.mot.com/ALTV4/Reports/ALTTestReport_Functional.aspx?Test_Seqno=WH124713" xr:uid="{00000000-0004-0000-0300-0000F6020000}"/>
    <hyperlink ref="T380" r:id="rId760" display="http://100.65.83.171/ReportServer/Pages/ReportViewer.aspx?%2fgALT_V3_Reports%2fAll+Failure+Info+Export&amp;rs:Command=Render&amp;rc:Parameters=False&amp;Test_Seqno=WH124713" xr:uid="{00000000-0004-0000-0300-0000F7020000}"/>
    <hyperlink ref="C381" r:id="rId761" display="http://reliability.mot.com/ALTV4/Reports/ALTTestReport_Functional.aspx?Test_Seqno=WH124712" xr:uid="{00000000-0004-0000-0300-0000F8020000}"/>
    <hyperlink ref="T381" r:id="rId762" display="http://100.65.83.171/ReportServer/Pages/ReportViewer.aspx?%2fgALT_V3_Reports%2fAll+Failure+Info+Export&amp;rs:Command=Render&amp;rc:Parameters=False&amp;Test_Seqno=WH124712" xr:uid="{00000000-0004-0000-0300-0000F9020000}"/>
    <hyperlink ref="C382" r:id="rId763" display="http://reliability.mot.com/ALTV4/Reports/ALTTestReport_Functional.aspx?Test_Seqno=WH124086" xr:uid="{00000000-0004-0000-0300-0000FA020000}"/>
    <hyperlink ref="T382" r:id="rId764" display="http://100.65.83.171/ReportServer/Pages/ReportViewer.aspx?%2fgALT_V3_Reports%2fAll+Failure+Info+Export&amp;rs:Command=Render&amp;rc:Parameters=False&amp;Test_Seqno=WH124086" xr:uid="{00000000-0004-0000-0300-0000FB02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H26"/>
  <sheetViews>
    <sheetView workbookViewId="0">
      <selection activeCell="G14" sqref="B1:G14"/>
    </sheetView>
  </sheetViews>
  <sheetFormatPr defaultColWidth="34.59765625" defaultRowHeight="10.199999999999999" x14ac:dyDescent="0.5"/>
  <cols>
    <col min="1" max="1" width="9.046875" style="167" bestFit="1" customWidth="1"/>
    <col min="2" max="2" width="35.69921875" style="167" customWidth="1"/>
    <col min="3" max="3" width="7.09765625" style="167" bestFit="1" customWidth="1"/>
    <col min="4" max="4" width="10.19921875" style="167" bestFit="1" customWidth="1"/>
    <col min="5" max="5" width="8.8984375" style="167" bestFit="1" customWidth="1"/>
    <col min="6" max="6" width="9.19921875" style="167" bestFit="1" customWidth="1"/>
    <col min="7" max="7" width="6.94921875" style="167" bestFit="1" customWidth="1"/>
    <col min="8" max="9" width="34.75" style="167" customWidth="1"/>
    <col min="10" max="45" width="34.59765625" style="167" customWidth="1"/>
    <col min="46" max="16384" width="34.59765625" style="167"/>
  </cols>
  <sheetData>
    <row r="1" spans="1:8" ht="10.5" customHeight="1" x14ac:dyDescent="0.5">
      <c r="A1" s="76" t="s">
        <v>1234</v>
      </c>
      <c r="B1" s="106" t="s">
        <v>17</v>
      </c>
      <c r="C1" s="106" t="s">
        <v>1235</v>
      </c>
      <c r="D1" s="106" t="s">
        <v>1236</v>
      </c>
      <c r="E1" s="106" t="s">
        <v>1237</v>
      </c>
      <c r="F1" s="106" t="s">
        <v>1238</v>
      </c>
      <c r="H1" s="77" t="s">
        <v>1239</v>
      </c>
    </row>
    <row r="2" spans="1:8" ht="10.199999999999999" customHeight="1" x14ac:dyDescent="0.4">
      <c r="A2" s="78" t="str">
        <f>LEFT(B2,9)</f>
        <v>MD ALT 20</v>
      </c>
      <c r="B2" s="113" t="s">
        <v>26</v>
      </c>
      <c r="C2" s="185" t="s">
        <v>1240</v>
      </c>
      <c r="D2" s="185">
        <v>16</v>
      </c>
      <c r="E2" s="111">
        <v>16</v>
      </c>
      <c r="F2" s="78" t="str">
        <f>VLOOKUP(A2,'Test Items'!$A$1:$H$30, 6,FALSE)</f>
        <v>WH140910</v>
      </c>
    </row>
    <row r="3" spans="1:8" ht="10.199999999999999" customHeight="1" x14ac:dyDescent="0.4">
      <c r="A3" s="78"/>
      <c r="B3" s="113" t="s">
        <v>548</v>
      </c>
      <c r="C3" s="186"/>
      <c r="D3" s="186"/>
      <c r="E3" s="112">
        <v>4</v>
      </c>
      <c r="F3" s="109" t="s">
        <v>1241</v>
      </c>
    </row>
    <row r="4" spans="1:8" ht="10.199999999999999" customHeight="1" x14ac:dyDescent="0.4">
      <c r="A4" s="78" t="str">
        <f t="shared" ref="A4:A26" si="0">LEFT(B4,9)</f>
        <v>DVT MDu11</v>
      </c>
      <c r="B4" s="113" t="s">
        <v>663</v>
      </c>
      <c r="C4" s="184"/>
      <c r="D4" s="184"/>
      <c r="E4" s="112">
        <v>4</v>
      </c>
      <c r="F4" s="78" t="str">
        <f>VLOOKUP(A4,'Test Items'!$A$1:$H$30, 6,FALSE)</f>
        <v>WH140912</v>
      </c>
    </row>
    <row r="5" spans="1:8" ht="10.199999999999999" customHeight="1" x14ac:dyDescent="0.4">
      <c r="A5" s="78" t="str">
        <f t="shared" si="0"/>
        <v>DVT MDu14</v>
      </c>
      <c r="B5" s="113" t="s">
        <v>533</v>
      </c>
      <c r="C5" s="187" t="s">
        <v>1242</v>
      </c>
      <c r="D5" s="187">
        <v>4</v>
      </c>
      <c r="E5" s="112">
        <v>4</v>
      </c>
      <c r="F5" s="78" t="str">
        <f>VLOOKUP(A5,'Test Items'!$A$1:$H$30, 6,FALSE)</f>
        <v>WH140931</v>
      </c>
      <c r="G5" s="188" t="s">
        <v>1243</v>
      </c>
    </row>
    <row r="6" spans="1:8" ht="20.399999999999999" customHeight="1" x14ac:dyDescent="0.4">
      <c r="A6" s="78" t="str">
        <f t="shared" si="0"/>
        <v>DVT MDu44</v>
      </c>
      <c r="B6" s="113" t="s">
        <v>520</v>
      </c>
      <c r="C6" s="184"/>
      <c r="D6" s="184"/>
      <c r="E6" s="112">
        <v>4</v>
      </c>
      <c r="F6" s="78" t="str">
        <f>VLOOKUP(A6,'Test Items'!$A$1:$H$30, 6,FALSE)</f>
        <v>WH140933</v>
      </c>
      <c r="G6" s="182"/>
    </row>
    <row r="7" spans="1:8" ht="10.199999999999999" customHeight="1" x14ac:dyDescent="0.4">
      <c r="A7" s="78" t="str">
        <f t="shared" si="0"/>
        <v>DVT MDu30</v>
      </c>
      <c r="B7" s="113" t="s">
        <v>475</v>
      </c>
      <c r="C7" s="112" t="s">
        <v>1244</v>
      </c>
      <c r="D7" s="112">
        <v>2</v>
      </c>
      <c r="E7" s="112">
        <v>3</v>
      </c>
      <c r="F7" s="78" t="str">
        <f>VLOOKUP(A7,'Test Items'!$A$1:$H$30, 6,FALSE)</f>
        <v>WH140932</v>
      </c>
      <c r="G7" s="115" t="s">
        <v>1245</v>
      </c>
    </row>
    <row r="8" spans="1:8" ht="10.199999999999999" customHeight="1" x14ac:dyDescent="0.4">
      <c r="A8" s="78" t="str">
        <f t="shared" si="0"/>
        <v>DVT MDu51</v>
      </c>
      <c r="B8" s="113" t="s">
        <v>525</v>
      </c>
      <c r="C8" s="187" t="s">
        <v>1246</v>
      </c>
      <c r="D8" s="187">
        <v>2</v>
      </c>
      <c r="E8" s="112">
        <v>4</v>
      </c>
      <c r="F8" s="78" t="str">
        <f>VLOOKUP(A8,'Test Items'!$A$1:$H$30, 6,FALSE)</f>
        <v>WH140934</v>
      </c>
    </row>
    <row r="9" spans="1:8" ht="10.199999999999999" customHeight="1" x14ac:dyDescent="0.4">
      <c r="A9" s="78" t="str">
        <f t="shared" si="0"/>
        <v>DVT MDu59</v>
      </c>
      <c r="B9" s="113" t="s">
        <v>500</v>
      </c>
      <c r="C9" s="184"/>
      <c r="D9" s="184"/>
      <c r="E9" s="112">
        <v>2</v>
      </c>
      <c r="F9" s="78" t="str">
        <f>VLOOKUP(A9,'Test Items'!$A$1:$H$30, 6,FALSE)</f>
        <v>WH140936</v>
      </c>
    </row>
    <row r="10" spans="1:8" ht="10.5" customHeight="1" x14ac:dyDescent="0.4">
      <c r="A10" s="78" t="str">
        <f t="shared" si="0"/>
        <v>DVT MDu56</v>
      </c>
      <c r="B10" s="113" t="s">
        <v>1247</v>
      </c>
      <c r="C10" s="187" t="s">
        <v>1248</v>
      </c>
      <c r="D10" s="187">
        <v>2</v>
      </c>
      <c r="E10" s="112">
        <v>2</v>
      </c>
      <c r="F10" s="78" t="str">
        <f>VLOOKUP(A10,'Test Items'!$A$1:$H$30, 6,FALSE)</f>
        <v>WH140935</v>
      </c>
    </row>
    <row r="11" spans="1:8" ht="20.399999999999999" customHeight="1" x14ac:dyDescent="0.4">
      <c r="A11" s="78" t="str">
        <f t="shared" si="0"/>
        <v>DVT MXc03</v>
      </c>
      <c r="B11" s="113" t="s">
        <v>498</v>
      </c>
      <c r="C11" s="184"/>
      <c r="D11" s="184"/>
      <c r="E11" s="112">
        <v>2</v>
      </c>
      <c r="F11" s="78" t="str">
        <f>VLOOKUP(A11,'Test Items'!$A$1:$H$30, 6,FALSE)</f>
        <v>WH140937</v>
      </c>
    </row>
    <row r="12" spans="1:8" ht="10.5" customHeight="1" x14ac:dyDescent="0.4">
      <c r="A12" s="78" t="str">
        <f t="shared" si="0"/>
        <v>DVT MXc06</v>
      </c>
      <c r="B12" s="113" t="s">
        <v>771</v>
      </c>
      <c r="C12" s="112" t="s">
        <v>1249</v>
      </c>
      <c r="D12" s="112">
        <v>5</v>
      </c>
      <c r="E12" s="112">
        <v>10</v>
      </c>
      <c r="F12" s="78" t="str">
        <f>VLOOKUP(A12,'Test Items'!$A$1:$H$30, 6,FALSE)</f>
        <v>WH140938</v>
      </c>
    </row>
    <row r="13" spans="1:8" ht="20.399999999999999" customHeight="1" x14ac:dyDescent="0.4">
      <c r="A13" s="78" t="str">
        <f t="shared" si="0"/>
        <v>DVT EDu03</v>
      </c>
      <c r="B13" s="113" t="s">
        <v>1250</v>
      </c>
      <c r="C13" s="112" t="s">
        <v>1251</v>
      </c>
      <c r="D13" s="112">
        <v>4</v>
      </c>
      <c r="E13" s="112">
        <v>6</v>
      </c>
      <c r="F13" s="78" t="str">
        <f>VLOOKUP(A13,'Test Items'!$A$1:$H$30, 6,FALSE)</f>
        <v>WH140939</v>
      </c>
    </row>
    <row r="14" spans="1:8" ht="10.199999999999999" customHeight="1" x14ac:dyDescent="0.4">
      <c r="A14" s="78" t="str">
        <f t="shared" si="0"/>
        <v>DVT EDu06</v>
      </c>
      <c r="B14" s="114" t="s">
        <v>536</v>
      </c>
      <c r="C14" s="111" t="s">
        <v>1252</v>
      </c>
      <c r="D14" s="111">
        <v>6</v>
      </c>
      <c r="E14" s="111">
        <v>6</v>
      </c>
      <c r="F14" s="78" t="str">
        <f>VLOOKUP(A14,'Test Items'!$A$1:$H$30, 6,FALSE)</f>
        <v>WH140940</v>
      </c>
    </row>
    <row r="15" spans="1:8" ht="10.199999999999999" customHeight="1" x14ac:dyDescent="0.5">
      <c r="A15" s="78" t="str">
        <f t="shared" si="0"/>
        <v/>
      </c>
      <c r="B15" s="113"/>
      <c r="C15" s="183"/>
      <c r="D15" s="183"/>
      <c r="E15" s="168">
        <v>2</v>
      </c>
      <c r="F15" s="78">
        <f>VLOOKUP(A15,'Test Items'!$A$1:$H$30, 6,FALSE)</f>
        <v>0</v>
      </c>
    </row>
    <row r="16" spans="1:8" ht="10.199999999999999" customHeight="1" x14ac:dyDescent="0.5">
      <c r="A16" s="78" t="str">
        <f t="shared" si="0"/>
        <v/>
      </c>
      <c r="B16" s="113"/>
      <c r="C16" s="184"/>
      <c r="D16" s="184"/>
      <c r="E16" s="168"/>
      <c r="F16" s="78">
        <f>VLOOKUP(A16,'Test Items'!$A$1:$H$30, 6,FALSE)</f>
        <v>0</v>
      </c>
    </row>
    <row r="17" spans="1:7" ht="10.199999999999999" customHeight="1" x14ac:dyDescent="0.5">
      <c r="A17" s="78" t="str">
        <f t="shared" si="0"/>
        <v/>
      </c>
      <c r="B17" s="113"/>
      <c r="C17" s="183"/>
      <c r="D17" s="183"/>
      <c r="E17" s="168">
        <v>2</v>
      </c>
      <c r="F17" s="78">
        <f>VLOOKUP(A17,'Test Items'!$A$1:$H$30, 6,FALSE)</f>
        <v>0</v>
      </c>
    </row>
    <row r="18" spans="1:7" ht="10.199999999999999" customHeight="1" x14ac:dyDescent="0.5">
      <c r="A18" s="78" t="str">
        <f t="shared" si="0"/>
        <v/>
      </c>
      <c r="B18" s="113"/>
      <c r="C18" s="184"/>
      <c r="D18" s="184"/>
      <c r="E18" s="168"/>
      <c r="F18" s="78">
        <f>VLOOKUP(A18,'Test Items'!$A$1:$H$30, 6,FALSE)</f>
        <v>0</v>
      </c>
    </row>
    <row r="19" spans="1:7" ht="10.199999999999999" customHeight="1" x14ac:dyDescent="0.5">
      <c r="A19" s="78" t="str">
        <f t="shared" si="0"/>
        <v/>
      </c>
      <c r="B19" s="110"/>
      <c r="C19" s="183"/>
      <c r="D19" s="183"/>
      <c r="E19" s="168">
        <v>10</v>
      </c>
      <c r="F19" s="78">
        <f>VLOOKUP(A19,'Test Items'!$A$1:$H$30, 6,FALSE)</f>
        <v>0</v>
      </c>
    </row>
    <row r="20" spans="1:7" ht="10.199999999999999" customHeight="1" x14ac:dyDescent="0.5">
      <c r="A20" s="78" t="str">
        <f t="shared" si="0"/>
        <v/>
      </c>
      <c r="B20" s="113"/>
      <c r="C20" s="186"/>
      <c r="D20" s="186"/>
      <c r="E20" s="168">
        <v>2</v>
      </c>
      <c r="F20" s="78">
        <f>VLOOKUP(A20,'Test Items'!$A$1:$H$30, 6,FALSE)</f>
        <v>0</v>
      </c>
    </row>
    <row r="21" spans="1:7" ht="10.199999999999999" customHeight="1" x14ac:dyDescent="0.5">
      <c r="A21" s="78" t="str">
        <f t="shared" si="0"/>
        <v/>
      </c>
      <c r="B21" s="113"/>
      <c r="C21" s="184"/>
      <c r="D21" s="184"/>
      <c r="E21" s="168">
        <v>2</v>
      </c>
      <c r="F21" s="78">
        <f>VLOOKUP(A21,'Test Items'!$A$1:$H$30, 6,FALSE)</f>
        <v>0</v>
      </c>
    </row>
    <row r="22" spans="1:7" ht="20.399999999999999" customHeight="1" x14ac:dyDescent="0.5">
      <c r="A22" s="78" t="str">
        <f t="shared" si="0"/>
        <v/>
      </c>
      <c r="B22" s="113"/>
      <c r="C22" s="183"/>
      <c r="D22" s="183"/>
      <c r="E22" s="168">
        <v>4</v>
      </c>
      <c r="F22" s="78">
        <f>VLOOKUP(A22,'Test Items'!$A$1:$H$30, 6,FALSE)</f>
        <v>0</v>
      </c>
      <c r="G22" s="189"/>
    </row>
    <row r="23" spans="1:7" ht="10.199999999999999" customHeight="1" x14ac:dyDescent="0.5">
      <c r="A23" s="78" t="str">
        <f t="shared" si="0"/>
        <v/>
      </c>
      <c r="B23" s="113"/>
      <c r="C23" s="184"/>
      <c r="D23" s="184"/>
      <c r="E23" s="168">
        <v>4</v>
      </c>
      <c r="F23" s="78">
        <f>VLOOKUP(A23,'Test Items'!$A$1:$H$30, 6,FALSE)</f>
        <v>0</v>
      </c>
      <c r="G23" s="190"/>
    </row>
    <row r="24" spans="1:7" ht="10.199999999999999" customHeight="1" x14ac:dyDescent="0.5">
      <c r="A24" s="78" t="str">
        <f t="shared" si="0"/>
        <v/>
      </c>
      <c r="B24" s="110"/>
      <c r="C24" s="183"/>
      <c r="D24" s="183"/>
      <c r="E24" s="168">
        <v>6</v>
      </c>
      <c r="F24" s="78">
        <f>VLOOKUP(A24,'Test Items'!$A$1:$H$30, 6,FALSE)</f>
        <v>0</v>
      </c>
      <c r="G24" s="190"/>
    </row>
    <row r="25" spans="1:7" ht="10.5" customHeight="1" x14ac:dyDescent="0.5">
      <c r="A25" s="78" t="str">
        <f t="shared" si="0"/>
        <v/>
      </c>
      <c r="B25" s="110"/>
      <c r="C25" s="184"/>
      <c r="D25" s="184"/>
      <c r="E25" s="168">
        <v>10</v>
      </c>
      <c r="F25" s="78">
        <f>VLOOKUP(A25,'Test Items'!$A$1:$H$30, 6,FALSE)</f>
        <v>0</v>
      </c>
      <c r="G25" s="190"/>
    </row>
    <row r="26" spans="1:7" x14ac:dyDescent="0.5">
      <c r="A26" s="78" t="str">
        <f t="shared" si="0"/>
        <v/>
      </c>
      <c r="B26" s="110"/>
      <c r="C26" s="168"/>
      <c r="D26" s="168"/>
      <c r="E26" s="168">
        <v>6</v>
      </c>
      <c r="F26" s="78">
        <f>VLOOKUP(A26,'Test Items'!$A$1:$H$30, 6,FALSE)</f>
        <v>0</v>
      </c>
    </row>
  </sheetData>
  <mergeCells count="20">
    <mergeCell ref="G22:G25"/>
    <mergeCell ref="D8:D9"/>
    <mergeCell ref="D10:D11"/>
    <mergeCell ref="D15:D16"/>
    <mergeCell ref="D17:D18"/>
    <mergeCell ref="G5:G6"/>
    <mergeCell ref="C15:C16"/>
    <mergeCell ref="C17:C18"/>
    <mergeCell ref="C19:C21"/>
    <mergeCell ref="D19:D21"/>
    <mergeCell ref="C22:C23"/>
    <mergeCell ref="C24:C25"/>
    <mergeCell ref="C2:C4"/>
    <mergeCell ref="D2:D4"/>
    <mergeCell ref="C8:C9"/>
    <mergeCell ref="C10:C11"/>
    <mergeCell ref="C5:C6"/>
    <mergeCell ref="D5:D6"/>
    <mergeCell ref="D22:D23"/>
    <mergeCell ref="D24:D25"/>
  </mergeCells>
  <phoneticPr fontId="32" type="noConversion"/>
  <hyperlinks>
    <hyperlink ref="F3" r:id="rId1" xr:uid="{00000000-0004-0000-0400-000000000000}"/>
  </hyperlink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0"/>
  <sheetViews>
    <sheetView workbookViewId="0">
      <selection activeCell="A4" sqref="A4:XFD4"/>
    </sheetView>
  </sheetViews>
  <sheetFormatPr defaultRowHeight="10.199999999999999" x14ac:dyDescent="0.5"/>
  <cols>
    <col min="1" max="1" width="8.25" style="167" bestFit="1" customWidth="1"/>
    <col min="2" max="2" width="4.19921875" style="167" bestFit="1" customWidth="1"/>
    <col min="3" max="3" width="2.296875" style="167" bestFit="1" customWidth="1"/>
    <col min="4" max="4" width="5" style="167" bestFit="1" customWidth="1"/>
    <col min="5" max="5" width="36.44921875" style="167" bestFit="1" customWidth="1"/>
    <col min="6" max="6" width="7.6484375" style="167" bestFit="1" customWidth="1"/>
    <col min="7" max="7" width="6.8984375" style="167" bestFit="1" customWidth="1"/>
    <col min="8" max="8" width="27.6484375" style="167" bestFit="1" customWidth="1"/>
    <col min="9" max="9" width="8.796875" style="167" customWidth="1"/>
    <col min="10" max="10" width="19.69921875" style="167" bestFit="1" customWidth="1"/>
    <col min="11" max="44" width="8.796875" style="167" customWidth="1"/>
    <col min="45" max="16384" width="8.796875" style="167"/>
  </cols>
  <sheetData>
    <row r="1" spans="1:10" ht="10.5" customHeight="1" x14ac:dyDescent="0.35">
      <c r="A1" s="167" t="str">
        <f t="shared" ref="A1:A30" si="0">LEFT(E1,9)</f>
        <v>MD ALT 20</v>
      </c>
      <c r="B1" s="142" t="s">
        <v>87</v>
      </c>
      <c r="C1" s="142">
        <v>16</v>
      </c>
      <c r="D1" s="142" t="s">
        <v>1253</v>
      </c>
      <c r="E1" s="142" t="s">
        <v>26</v>
      </c>
      <c r="F1" s="142" t="s">
        <v>1254</v>
      </c>
      <c r="G1" s="142" t="s">
        <v>1255</v>
      </c>
      <c r="H1" s="143" t="s">
        <v>1256</v>
      </c>
      <c r="J1" s="77" t="s">
        <v>1257</v>
      </c>
    </row>
    <row r="2" spans="1:10" ht="20.399999999999999" customHeight="1" x14ac:dyDescent="0.35">
      <c r="A2" s="167" t="str">
        <f t="shared" si="0"/>
        <v>DVT MDu04</v>
      </c>
      <c r="B2" s="142" t="s">
        <v>87</v>
      </c>
      <c r="C2" s="142">
        <v>4</v>
      </c>
      <c r="D2" s="142" t="s">
        <v>1253</v>
      </c>
      <c r="E2" s="142" t="s">
        <v>548</v>
      </c>
      <c r="F2" s="142" t="s">
        <v>1258</v>
      </c>
      <c r="G2" s="142" t="s">
        <v>1255</v>
      </c>
      <c r="H2" s="143" t="s">
        <v>1256</v>
      </c>
    </row>
    <row r="3" spans="1:10" ht="47.1" customHeight="1" x14ac:dyDescent="0.35">
      <c r="A3" s="167" t="str">
        <f t="shared" si="0"/>
        <v>DVT MDu11</v>
      </c>
      <c r="B3" s="142" t="s">
        <v>87</v>
      </c>
      <c r="C3" s="142">
        <v>4</v>
      </c>
      <c r="D3" s="142" t="s">
        <v>1253</v>
      </c>
      <c r="E3" s="142" t="s">
        <v>663</v>
      </c>
      <c r="F3" s="142" t="s">
        <v>1259</v>
      </c>
      <c r="G3" s="142" t="s">
        <v>1255</v>
      </c>
      <c r="H3" s="143" t="s">
        <v>1256</v>
      </c>
    </row>
    <row r="4" spans="1:10" ht="20.399999999999999" customHeight="1" x14ac:dyDescent="0.35">
      <c r="A4" s="167" t="str">
        <f t="shared" si="0"/>
        <v>DVT MDu14</v>
      </c>
      <c r="B4" s="147" t="s">
        <v>87</v>
      </c>
      <c r="C4" s="147">
        <v>4</v>
      </c>
      <c r="D4" s="147" t="s">
        <v>1253</v>
      </c>
      <c r="E4" s="147" t="s">
        <v>533</v>
      </c>
      <c r="F4" s="147" t="s">
        <v>1260</v>
      </c>
      <c r="G4" s="147" t="s">
        <v>1255</v>
      </c>
      <c r="H4" s="147" t="s">
        <v>1256</v>
      </c>
    </row>
    <row r="5" spans="1:10" ht="20.399999999999999" customHeight="1" x14ac:dyDescent="0.35">
      <c r="A5" s="167" t="str">
        <f t="shared" si="0"/>
        <v>DVT MDu30</v>
      </c>
      <c r="B5" s="147" t="s">
        <v>87</v>
      </c>
      <c r="C5" s="147">
        <v>2</v>
      </c>
      <c r="D5" s="147" t="s">
        <v>1253</v>
      </c>
      <c r="E5" s="147" t="s">
        <v>475</v>
      </c>
      <c r="F5" s="147" t="s">
        <v>1261</v>
      </c>
      <c r="G5" s="147" t="s">
        <v>1255</v>
      </c>
      <c r="H5" s="147" t="s">
        <v>1262</v>
      </c>
    </row>
    <row r="6" spans="1:10" ht="20.399999999999999" customHeight="1" x14ac:dyDescent="0.35">
      <c r="A6" s="167" t="str">
        <f t="shared" si="0"/>
        <v>DVT MDu44</v>
      </c>
      <c r="B6" s="147" t="s">
        <v>87</v>
      </c>
      <c r="C6" s="147">
        <v>4</v>
      </c>
      <c r="D6" s="147" t="s">
        <v>1253</v>
      </c>
      <c r="E6" s="147" t="s">
        <v>520</v>
      </c>
      <c r="F6" s="147" t="s">
        <v>1263</v>
      </c>
      <c r="G6" s="147" t="s">
        <v>1255</v>
      </c>
      <c r="H6" s="147" t="s">
        <v>1256</v>
      </c>
    </row>
    <row r="7" spans="1:10" x14ac:dyDescent="0.35">
      <c r="A7" s="167" t="str">
        <f t="shared" si="0"/>
        <v>DVT MDu51</v>
      </c>
      <c r="B7" s="147" t="s">
        <v>87</v>
      </c>
      <c r="C7" s="147">
        <v>2</v>
      </c>
      <c r="D7" s="147" t="s">
        <v>1253</v>
      </c>
      <c r="E7" s="147" t="s">
        <v>525</v>
      </c>
      <c r="F7" s="147" t="s">
        <v>1264</v>
      </c>
      <c r="G7" s="147" t="s">
        <v>1255</v>
      </c>
      <c r="H7" s="147" t="s">
        <v>1256</v>
      </c>
    </row>
    <row r="8" spans="1:10" ht="20.399999999999999" customHeight="1" x14ac:dyDescent="0.35">
      <c r="A8" s="167" t="str">
        <f t="shared" si="0"/>
        <v>DVT MDu56</v>
      </c>
      <c r="B8" s="147" t="s">
        <v>87</v>
      </c>
      <c r="C8" s="147">
        <v>2</v>
      </c>
      <c r="D8" s="147" t="s">
        <v>1253</v>
      </c>
      <c r="E8" s="147" t="s">
        <v>1247</v>
      </c>
      <c r="F8" s="147" t="s">
        <v>1265</v>
      </c>
      <c r="G8" s="147" t="s">
        <v>1255</v>
      </c>
      <c r="H8" s="147" t="s">
        <v>1256</v>
      </c>
    </row>
    <row r="9" spans="1:10" ht="20.399999999999999" customHeight="1" x14ac:dyDescent="0.35">
      <c r="A9" s="167" t="str">
        <f t="shared" si="0"/>
        <v>DVT MDu59</v>
      </c>
      <c r="B9" s="147" t="s">
        <v>87</v>
      </c>
      <c r="C9" s="147">
        <v>2</v>
      </c>
      <c r="D9" s="147" t="s">
        <v>1253</v>
      </c>
      <c r="E9" s="147" t="s">
        <v>500</v>
      </c>
      <c r="F9" s="147" t="s">
        <v>1266</v>
      </c>
      <c r="G9" s="147" t="s">
        <v>1255</v>
      </c>
      <c r="H9" s="147" t="s">
        <v>1256</v>
      </c>
    </row>
    <row r="10" spans="1:10" ht="20.399999999999999" customHeight="1" x14ac:dyDescent="0.35">
      <c r="A10" s="167" t="str">
        <f t="shared" si="0"/>
        <v>DVT MXc03</v>
      </c>
      <c r="B10" s="147" t="s">
        <v>87</v>
      </c>
      <c r="C10" s="147">
        <v>2</v>
      </c>
      <c r="D10" s="147" t="s">
        <v>1253</v>
      </c>
      <c r="E10" s="147" t="s">
        <v>498</v>
      </c>
      <c r="F10" s="147" t="s">
        <v>1267</v>
      </c>
      <c r="G10" s="147" t="s">
        <v>1255</v>
      </c>
      <c r="H10" s="147" t="s">
        <v>1256</v>
      </c>
    </row>
    <row r="11" spans="1:10" ht="20.399999999999999" customHeight="1" x14ac:dyDescent="0.35">
      <c r="A11" s="167" t="str">
        <f t="shared" si="0"/>
        <v>DVT MXc06</v>
      </c>
      <c r="B11" s="147" t="s">
        <v>87</v>
      </c>
      <c r="C11" s="147">
        <v>5</v>
      </c>
      <c r="D11" s="147" t="s">
        <v>1253</v>
      </c>
      <c r="E11" s="147" t="s">
        <v>771</v>
      </c>
      <c r="F11" s="147" t="s">
        <v>1268</v>
      </c>
      <c r="G11" s="147" t="s">
        <v>1255</v>
      </c>
      <c r="H11" s="147" t="s">
        <v>1256</v>
      </c>
    </row>
    <row r="12" spans="1:10" ht="20.399999999999999" customHeight="1" x14ac:dyDescent="0.35">
      <c r="A12" s="167" t="str">
        <f t="shared" si="0"/>
        <v>DVT EDu03</v>
      </c>
      <c r="B12" s="147" t="s">
        <v>87</v>
      </c>
      <c r="C12" s="147">
        <v>4</v>
      </c>
      <c r="D12" s="147" t="s">
        <v>1253</v>
      </c>
      <c r="E12" s="147" t="s">
        <v>1250</v>
      </c>
      <c r="F12" s="147" t="s">
        <v>1269</v>
      </c>
      <c r="G12" s="147" t="s">
        <v>1255</v>
      </c>
      <c r="H12" s="147" t="s">
        <v>1256</v>
      </c>
    </row>
    <row r="13" spans="1:10" ht="20.399999999999999" customHeight="1" x14ac:dyDescent="0.35">
      <c r="A13" s="167" t="str">
        <f t="shared" si="0"/>
        <v>DVT EDu06</v>
      </c>
      <c r="B13" s="147" t="s">
        <v>87</v>
      </c>
      <c r="C13" s="147">
        <v>6</v>
      </c>
      <c r="D13" s="147" t="s">
        <v>1253</v>
      </c>
      <c r="E13" s="147" t="s">
        <v>536</v>
      </c>
      <c r="F13" s="147" t="s">
        <v>1270</v>
      </c>
      <c r="G13" s="147" t="s">
        <v>1255</v>
      </c>
      <c r="H13" s="147" t="s">
        <v>1256</v>
      </c>
    </row>
    <row r="14" spans="1:10" ht="20.399999999999999" customHeight="1" x14ac:dyDescent="0.35">
      <c r="A14" s="167" t="str">
        <f t="shared" si="0"/>
        <v/>
      </c>
      <c r="B14" s="140"/>
      <c r="C14" s="140"/>
      <c r="D14" s="140"/>
      <c r="E14" s="140"/>
      <c r="F14" s="140"/>
      <c r="G14" s="140"/>
      <c r="H14" s="140"/>
    </row>
    <row r="15" spans="1:10" ht="20.399999999999999" customHeight="1" x14ac:dyDescent="0.35">
      <c r="A15" s="167" t="str">
        <f t="shared" si="0"/>
        <v/>
      </c>
      <c r="B15" s="140"/>
      <c r="C15" s="140"/>
      <c r="D15" s="140"/>
      <c r="E15" s="140"/>
      <c r="F15" s="140"/>
      <c r="G15" s="140"/>
      <c r="H15" s="140"/>
    </row>
    <row r="16" spans="1:10" x14ac:dyDescent="0.35">
      <c r="A16" s="167" t="str">
        <f t="shared" si="0"/>
        <v/>
      </c>
      <c r="B16" s="140"/>
      <c r="C16" s="140"/>
      <c r="D16" s="140"/>
      <c r="E16" s="140"/>
      <c r="F16" s="140"/>
      <c r="G16" s="140"/>
      <c r="H16" s="140"/>
    </row>
    <row r="17" spans="1:8" ht="20.399999999999999" customHeight="1" x14ac:dyDescent="0.35">
      <c r="A17" s="167" t="str">
        <f t="shared" si="0"/>
        <v/>
      </c>
      <c r="B17" s="140"/>
      <c r="C17" s="140"/>
      <c r="D17" s="140"/>
      <c r="E17" s="140"/>
      <c r="F17" s="140"/>
      <c r="G17" s="140"/>
      <c r="H17" s="140"/>
    </row>
    <row r="18" spans="1:8" x14ac:dyDescent="0.35">
      <c r="A18" s="167" t="str">
        <f t="shared" si="0"/>
        <v/>
      </c>
      <c r="B18" s="140"/>
      <c r="C18" s="140"/>
      <c r="D18" s="140"/>
      <c r="E18" s="140"/>
      <c r="F18" s="140"/>
      <c r="G18" s="140"/>
      <c r="H18" s="140"/>
    </row>
    <row r="19" spans="1:8" ht="20.399999999999999" customHeight="1" x14ac:dyDescent="0.35">
      <c r="A19" s="167" t="str">
        <f t="shared" si="0"/>
        <v/>
      </c>
      <c r="B19" s="140"/>
      <c r="C19" s="140"/>
      <c r="D19" s="140"/>
      <c r="E19" s="140"/>
      <c r="F19" s="140"/>
      <c r="G19" s="140"/>
      <c r="H19" s="140"/>
    </row>
    <row r="20" spans="1:8" x14ac:dyDescent="0.35">
      <c r="A20" s="167" t="str">
        <f t="shared" si="0"/>
        <v/>
      </c>
      <c r="B20" s="140"/>
      <c r="C20" s="140"/>
      <c r="D20" s="140"/>
      <c r="E20" s="140"/>
      <c r="F20" s="140"/>
      <c r="G20" s="140"/>
      <c r="H20" s="140"/>
    </row>
    <row r="21" spans="1:8" x14ac:dyDescent="0.35">
      <c r="A21" s="167" t="str">
        <f t="shared" si="0"/>
        <v/>
      </c>
      <c r="B21" s="140"/>
      <c r="C21" s="140"/>
      <c r="D21" s="140"/>
      <c r="E21" s="140"/>
      <c r="F21" s="140"/>
      <c r="G21" s="140"/>
      <c r="H21" s="140"/>
    </row>
    <row r="22" spans="1:8" x14ac:dyDescent="0.35">
      <c r="A22" s="167" t="str">
        <f t="shared" si="0"/>
        <v/>
      </c>
      <c r="B22" s="140"/>
      <c r="C22" s="140"/>
      <c r="D22" s="140"/>
      <c r="E22" s="140"/>
      <c r="F22" s="140"/>
      <c r="G22" s="140"/>
      <c r="H22" s="140"/>
    </row>
    <row r="23" spans="1:8" ht="20.399999999999999" customHeight="1" x14ac:dyDescent="0.35">
      <c r="A23" s="167" t="str">
        <f t="shared" si="0"/>
        <v/>
      </c>
      <c r="B23" s="140"/>
      <c r="C23" s="140"/>
      <c r="D23" s="140"/>
      <c r="E23" s="140"/>
      <c r="F23" s="140"/>
      <c r="G23" s="140"/>
      <c r="H23" s="140"/>
    </row>
    <row r="24" spans="1:8" x14ac:dyDescent="0.35">
      <c r="A24" s="167" t="str">
        <f t="shared" si="0"/>
        <v/>
      </c>
      <c r="B24" s="140"/>
      <c r="C24" s="140"/>
      <c r="D24" s="140"/>
      <c r="E24" s="140"/>
      <c r="F24" s="140"/>
      <c r="G24" s="140"/>
      <c r="H24" s="140"/>
    </row>
    <row r="25" spans="1:8" x14ac:dyDescent="0.35">
      <c r="A25" s="167" t="str">
        <f t="shared" si="0"/>
        <v/>
      </c>
      <c r="B25" s="130"/>
      <c r="C25" s="130"/>
      <c r="D25" s="130"/>
      <c r="E25" s="130"/>
      <c r="F25" s="130"/>
      <c r="G25" s="79"/>
      <c r="H25" s="79"/>
    </row>
    <row r="26" spans="1:8" x14ac:dyDescent="0.35">
      <c r="A26" s="167" t="str">
        <f t="shared" si="0"/>
        <v/>
      </c>
      <c r="B26" s="130"/>
      <c r="C26" s="130"/>
      <c r="D26" s="130"/>
      <c r="E26" s="130"/>
      <c r="F26" s="130"/>
      <c r="G26" s="79"/>
      <c r="H26" s="79"/>
    </row>
    <row r="27" spans="1:8" x14ac:dyDescent="0.35">
      <c r="A27" s="167" t="str">
        <f t="shared" si="0"/>
        <v/>
      </c>
      <c r="B27" s="130"/>
      <c r="C27" s="130"/>
      <c r="D27" s="130"/>
      <c r="E27" s="130"/>
      <c r="F27" s="130"/>
      <c r="G27" s="79"/>
      <c r="H27" s="79"/>
    </row>
    <row r="28" spans="1:8" x14ac:dyDescent="0.35">
      <c r="A28" s="167" t="str">
        <f t="shared" si="0"/>
        <v/>
      </c>
      <c r="B28" s="130"/>
      <c r="C28" s="130"/>
      <c r="D28" s="130"/>
      <c r="E28" s="130"/>
      <c r="F28" s="130"/>
      <c r="G28" s="79"/>
      <c r="H28" s="79"/>
    </row>
    <row r="29" spans="1:8" x14ac:dyDescent="0.35">
      <c r="A29" s="167" t="str">
        <f t="shared" si="0"/>
        <v/>
      </c>
      <c r="B29" s="126"/>
      <c r="C29" s="126"/>
      <c r="D29" s="126"/>
      <c r="E29" s="105"/>
      <c r="F29" s="126"/>
      <c r="G29" s="79"/>
      <c r="H29" s="79"/>
    </row>
    <row r="30" spans="1:8" x14ac:dyDescent="0.35">
      <c r="A30" s="167" t="str">
        <f t="shared" si="0"/>
        <v/>
      </c>
      <c r="B30" s="132"/>
      <c r="C30" s="132"/>
      <c r="D30" s="132"/>
      <c r="E30" s="132"/>
      <c r="F30" s="132"/>
      <c r="G30" s="79"/>
      <c r="H30" s="79"/>
    </row>
  </sheetData>
  <phoneticPr fontId="32" type="noConversion"/>
  <hyperlinks>
    <hyperlink ref="F1" r:id="rId1" xr:uid="{00000000-0004-0000-0500-000000000000}"/>
    <hyperlink ref="F2" r:id="rId2" xr:uid="{00000000-0004-0000-0500-000001000000}"/>
    <hyperlink ref="F3" r:id="rId3" xr:uid="{00000000-0004-0000-0500-000002000000}"/>
    <hyperlink ref="F4" r:id="rId4" xr:uid="{00000000-0004-0000-0500-000003000000}"/>
    <hyperlink ref="F5" r:id="rId5" xr:uid="{00000000-0004-0000-0500-000004000000}"/>
    <hyperlink ref="F6" r:id="rId6" xr:uid="{00000000-0004-0000-0500-000005000000}"/>
    <hyperlink ref="F7" r:id="rId7" xr:uid="{00000000-0004-0000-0500-000006000000}"/>
    <hyperlink ref="F8" r:id="rId8" xr:uid="{00000000-0004-0000-0500-000007000000}"/>
    <hyperlink ref="F9" r:id="rId9" xr:uid="{00000000-0004-0000-0500-000008000000}"/>
    <hyperlink ref="F10" r:id="rId10" xr:uid="{00000000-0004-0000-0500-000009000000}"/>
    <hyperlink ref="F11" r:id="rId11" xr:uid="{00000000-0004-0000-0500-00000A000000}"/>
    <hyperlink ref="F12" r:id="rId12" xr:uid="{00000000-0004-0000-0500-00000B000000}"/>
    <hyperlink ref="F13" r:id="rId13" xr:uid="{00000000-0004-0000-0500-00000C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EV426"/>
  <sheetViews>
    <sheetView workbookViewId="0">
      <selection activeCell="C27" sqref="C27"/>
    </sheetView>
  </sheetViews>
  <sheetFormatPr defaultRowHeight="14.1" x14ac:dyDescent="0.5"/>
  <cols>
    <col min="1" max="1" width="48.296875" style="63" customWidth="1"/>
    <col min="2" max="2" width="16.1484375" style="63" customWidth="1"/>
    <col min="3" max="3" width="13.796875" style="63" bestFit="1" customWidth="1"/>
    <col min="4" max="4" width="12.296875" style="63" bestFit="1" customWidth="1"/>
    <col min="5" max="5" width="14.296875" style="63" customWidth="1"/>
    <col min="6" max="6" width="12.59765625" style="63" customWidth="1"/>
    <col min="7" max="8" width="6.546875" style="63" bestFit="1" customWidth="1"/>
    <col min="9" max="12" width="10.5" style="63" bestFit="1" customWidth="1"/>
    <col min="13" max="13" width="14.84765625" style="63" bestFit="1" customWidth="1"/>
    <col min="14" max="14" width="12.25" style="63" bestFit="1" customWidth="1"/>
    <col min="15" max="15" width="14.84765625" style="63" bestFit="1" customWidth="1"/>
    <col min="16" max="16" width="12.25" style="63" bestFit="1" customWidth="1"/>
    <col min="17" max="17" width="14.84765625" style="63" bestFit="1" customWidth="1"/>
    <col min="18" max="18" width="12.25" style="63" bestFit="1" customWidth="1"/>
    <col min="19" max="19" width="14.84765625" style="63" bestFit="1" customWidth="1"/>
    <col min="20" max="20" width="12.25" style="63" bestFit="1" customWidth="1"/>
    <col min="21" max="21" width="14.84765625" style="63" bestFit="1" customWidth="1"/>
    <col min="22" max="22" width="12.25" style="63" bestFit="1" customWidth="1"/>
    <col min="23" max="23" width="14.84765625" style="63" bestFit="1" customWidth="1"/>
    <col min="24" max="24" width="12.25" style="63" bestFit="1" customWidth="1"/>
    <col min="25" max="25" width="14.84765625" style="63" bestFit="1" customWidth="1"/>
    <col min="26" max="26" width="12.25" style="63" bestFit="1" customWidth="1"/>
    <col min="27" max="27" width="14.84765625" style="63" bestFit="1" customWidth="1"/>
    <col min="28" max="28" width="12.25" style="63" bestFit="1" customWidth="1"/>
    <col min="29" max="29" width="14.84765625" style="63" bestFit="1" customWidth="1"/>
    <col min="30" max="30" width="12.25" style="63" bestFit="1" customWidth="1"/>
    <col min="31" max="31" width="14.84765625" style="63" bestFit="1" customWidth="1"/>
    <col min="32" max="32" width="12.25" style="63" bestFit="1" customWidth="1"/>
    <col min="33" max="33" width="14.84765625" style="63" bestFit="1" customWidth="1"/>
    <col min="34" max="34" width="12.25" style="63" bestFit="1" customWidth="1"/>
    <col min="35" max="35" width="14.84765625" style="63" bestFit="1" customWidth="1"/>
    <col min="36" max="36" width="12.25" style="63" bestFit="1" customWidth="1"/>
    <col min="37" max="37" width="14.84765625" style="63" bestFit="1" customWidth="1"/>
    <col min="38" max="38" width="12.25" style="63" bestFit="1" customWidth="1"/>
    <col min="39" max="39" width="14.84765625" style="63" bestFit="1" customWidth="1"/>
    <col min="40" max="40" width="12.25" style="63" bestFit="1" customWidth="1"/>
    <col min="41" max="41" width="14.84765625" style="63" bestFit="1" customWidth="1"/>
    <col min="42" max="42" width="12.25" style="63" bestFit="1" customWidth="1"/>
    <col min="43" max="43" width="14.84765625" style="63" bestFit="1" customWidth="1"/>
    <col min="44" max="44" width="12.25" style="63" bestFit="1" customWidth="1"/>
    <col min="45" max="45" width="14.84765625" style="63" bestFit="1" customWidth="1"/>
    <col min="46" max="46" width="12.25" style="63" bestFit="1" customWidth="1"/>
    <col min="47" max="47" width="14.84765625" style="63" bestFit="1" customWidth="1"/>
    <col min="48" max="48" width="12.25" style="63" bestFit="1" customWidth="1"/>
    <col min="49" max="49" width="14.84765625" style="63" bestFit="1" customWidth="1"/>
    <col min="50" max="50" width="12.25" style="63" bestFit="1" customWidth="1"/>
    <col min="51" max="51" width="14.84765625" style="63" bestFit="1" customWidth="1"/>
    <col min="52" max="52" width="12.25" style="63" bestFit="1" customWidth="1"/>
    <col min="53" max="53" width="14.84765625" style="63" bestFit="1" customWidth="1"/>
    <col min="54" max="54" width="12.25" style="63" bestFit="1" customWidth="1"/>
    <col min="55" max="55" width="14.84765625" style="63" bestFit="1" customWidth="1"/>
    <col min="56" max="56" width="12.25" style="63" bestFit="1" customWidth="1"/>
    <col min="57" max="57" width="14.84765625" style="63" bestFit="1" customWidth="1"/>
    <col min="58" max="58" width="12.25" style="63" bestFit="1" customWidth="1"/>
    <col min="59" max="59" width="14.84765625" style="63" bestFit="1" customWidth="1"/>
    <col min="60" max="60" width="12.25" style="63" bestFit="1" customWidth="1"/>
    <col min="61" max="61" width="14.84765625" style="63" bestFit="1" customWidth="1"/>
    <col min="62" max="62" width="12.25" style="63" bestFit="1" customWidth="1"/>
    <col min="63" max="63" width="14.84765625" style="63" bestFit="1" customWidth="1"/>
    <col min="64" max="64" width="12.25" style="63" bestFit="1" customWidth="1"/>
    <col min="65" max="65" width="14.84765625" style="63" bestFit="1" customWidth="1"/>
    <col min="66" max="66" width="12.25" style="63" bestFit="1" customWidth="1"/>
    <col min="67" max="67" width="14.84765625" style="63" bestFit="1" customWidth="1"/>
    <col min="68" max="68" width="12.25" style="63" bestFit="1" customWidth="1"/>
    <col min="69" max="69" width="14.84765625" style="63" bestFit="1" customWidth="1"/>
    <col min="70" max="70" width="12.25" style="63" bestFit="1" customWidth="1"/>
    <col min="71" max="71" width="14.84765625" style="63" bestFit="1" customWidth="1"/>
    <col min="72" max="72" width="12.25" style="63" bestFit="1" customWidth="1"/>
    <col min="73" max="73" width="14.84765625" style="63" bestFit="1" customWidth="1"/>
    <col min="74" max="74" width="12.25" style="63" bestFit="1" customWidth="1"/>
    <col min="75" max="75" width="14.84765625" style="63" bestFit="1" customWidth="1"/>
    <col min="76" max="76" width="12.25" style="63" bestFit="1" customWidth="1"/>
    <col min="77" max="77" width="14.84765625" style="63" bestFit="1" customWidth="1"/>
    <col min="78" max="78" width="12.25" style="63" bestFit="1" customWidth="1"/>
    <col min="79" max="79" width="14.84765625" style="63" bestFit="1" customWidth="1"/>
    <col min="80" max="80" width="12.25" style="63" bestFit="1" customWidth="1"/>
    <col min="81" max="81" width="14.84765625" style="63" bestFit="1" customWidth="1"/>
    <col min="82" max="82" width="12.25" style="63" bestFit="1" customWidth="1"/>
    <col min="83" max="83" width="14.84765625" style="63" bestFit="1" customWidth="1"/>
    <col min="84" max="84" width="12.25" style="63" bestFit="1" customWidth="1"/>
    <col min="85" max="85" width="14.84765625" style="63" bestFit="1" customWidth="1"/>
    <col min="86" max="86" width="12.25" style="63" bestFit="1" customWidth="1"/>
    <col min="87" max="87" width="14.84765625" style="63" bestFit="1" customWidth="1"/>
    <col min="88" max="88" width="12.25" style="63" bestFit="1" customWidth="1"/>
    <col min="89" max="89" width="14.84765625" style="63" bestFit="1" customWidth="1"/>
    <col min="90" max="90" width="12.25" style="63" bestFit="1" customWidth="1"/>
    <col min="91" max="91" width="14.84765625" style="63" bestFit="1" customWidth="1"/>
    <col min="92" max="92" width="12.25" style="63" bestFit="1" customWidth="1"/>
    <col min="93" max="93" width="14.84765625" style="63" bestFit="1" customWidth="1"/>
    <col min="94" max="94" width="12.25" style="63" bestFit="1" customWidth="1"/>
    <col min="95" max="95" width="14.84765625" style="63" bestFit="1" customWidth="1"/>
    <col min="96" max="96" width="12.25" style="63" bestFit="1" customWidth="1"/>
    <col min="97" max="97" width="14.84765625" style="63" bestFit="1" customWidth="1"/>
    <col min="98" max="98" width="12.25" style="63" bestFit="1" customWidth="1"/>
    <col min="99" max="99" width="14.84765625" style="63" bestFit="1" customWidth="1"/>
    <col min="100" max="100" width="12.25" style="63" bestFit="1" customWidth="1"/>
    <col min="101" max="101" width="14.84765625" style="63" bestFit="1" customWidth="1"/>
    <col min="102" max="102" width="12.25" style="63" bestFit="1" customWidth="1"/>
    <col min="103" max="103" width="14.84765625" style="63" bestFit="1" customWidth="1"/>
    <col min="104" max="104" width="12.25" style="63" bestFit="1" customWidth="1"/>
    <col min="105" max="105" width="14.84765625" style="63" bestFit="1" customWidth="1"/>
    <col min="106" max="106" width="12.25" style="63" bestFit="1" customWidth="1"/>
    <col min="107" max="107" width="14.84765625" style="63" bestFit="1" customWidth="1"/>
    <col min="108" max="108" width="12.25" style="63" bestFit="1" customWidth="1"/>
    <col min="109" max="109" width="14.84765625" style="63" bestFit="1" customWidth="1"/>
    <col min="110" max="110" width="12.25" style="63" bestFit="1" customWidth="1"/>
    <col min="111" max="111" width="14.84765625" style="63" bestFit="1" customWidth="1"/>
    <col min="112" max="112" width="12.25" style="63" bestFit="1" customWidth="1"/>
    <col min="113" max="113" width="14.84765625" style="63" bestFit="1" customWidth="1"/>
    <col min="114" max="114" width="12.25" style="63" bestFit="1" customWidth="1"/>
    <col min="115" max="115" width="14.84765625" style="63" bestFit="1" customWidth="1"/>
    <col min="116" max="116" width="12.25" style="63" bestFit="1" customWidth="1"/>
    <col min="117" max="117" width="14.84765625" style="63" bestFit="1" customWidth="1"/>
    <col min="118" max="118" width="12.25" style="63" bestFit="1" customWidth="1"/>
    <col min="119" max="119" width="14.84765625" style="63" bestFit="1" customWidth="1"/>
    <col min="120" max="120" width="12.25" style="63" bestFit="1" customWidth="1"/>
    <col min="121" max="121" width="14.84765625" style="63" bestFit="1" customWidth="1"/>
    <col min="122" max="122" width="12.25" style="63" bestFit="1" customWidth="1"/>
    <col min="123" max="123" width="14.84765625" style="63" bestFit="1" customWidth="1"/>
    <col min="124" max="124" width="12.25" style="63" bestFit="1" customWidth="1"/>
    <col min="125" max="125" width="14.84765625" style="63" bestFit="1" customWidth="1"/>
    <col min="126" max="126" width="12.25" style="63" bestFit="1" customWidth="1"/>
    <col min="127" max="127" width="14.84765625" style="63" bestFit="1" customWidth="1"/>
    <col min="128" max="128" width="12.25" style="63" bestFit="1" customWidth="1"/>
    <col min="129" max="129" width="14.84765625" style="63" bestFit="1" customWidth="1"/>
    <col min="130" max="130" width="12.25" style="63" bestFit="1" customWidth="1"/>
    <col min="131" max="131" width="14.84765625" style="63" bestFit="1" customWidth="1"/>
    <col min="132" max="132" width="12.25" style="63" bestFit="1" customWidth="1"/>
    <col min="133" max="133" width="14.84765625" style="63" bestFit="1" customWidth="1"/>
    <col min="134" max="134" width="12.25" style="63" bestFit="1" customWidth="1"/>
    <col min="135" max="135" width="14.84765625" style="63" bestFit="1" customWidth="1"/>
    <col min="136" max="136" width="12.25" style="63" bestFit="1" customWidth="1"/>
    <col min="137" max="137" width="14.84765625" style="63" bestFit="1" customWidth="1"/>
    <col min="138" max="138" width="12.25" style="63" bestFit="1" customWidth="1"/>
    <col min="139" max="139" width="14.84765625" style="63" bestFit="1" customWidth="1"/>
    <col min="140" max="140" width="12.25" style="63" bestFit="1" customWidth="1"/>
    <col min="141" max="141" width="14.84765625" style="63" bestFit="1" customWidth="1"/>
    <col min="142" max="142" width="12.25" style="63" bestFit="1" customWidth="1"/>
    <col min="143" max="143" width="14.84765625" style="63" bestFit="1" customWidth="1"/>
    <col min="144" max="144" width="12.25" style="63" bestFit="1" customWidth="1"/>
    <col min="145" max="145" width="14.84765625" style="63" bestFit="1" customWidth="1"/>
    <col min="146" max="146" width="12.25" style="63" bestFit="1" customWidth="1"/>
    <col min="147" max="147" width="14.84765625" style="63" bestFit="1" customWidth="1"/>
    <col min="148" max="148" width="12.25" style="63" bestFit="1" customWidth="1"/>
    <col min="149" max="149" width="14.84765625" style="63" bestFit="1" customWidth="1"/>
    <col min="150" max="150" width="12.25" style="63" bestFit="1" customWidth="1"/>
    <col min="151" max="151" width="14.84765625" style="63" bestFit="1" customWidth="1"/>
    <col min="152" max="152" width="4.69921875" style="63" bestFit="1" customWidth="1"/>
  </cols>
  <sheetData>
    <row r="1" spans="1:12" x14ac:dyDescent="0.5">
      <c r="A1" s="24" t="s">
        <v>273</v>
      </c>
      <c r="B1" s="74" t="s">
        <v>1271</v>
      </c>
    </row>
    <row r="2" spans="1:12" x14ac:dyDescent="0.5">
      <c r="A2" s="24" t="s">
        <v>255</v>
      </c>
      <c r="B2" s="74" t="s">
        <v>1272</v>
      </c>
    </row>
    <row r="3" spans="1:12" x14ac:dyDescent="0.5">
      <c r="A3" s="24" t="s">
        <v>24</v>
      </c>
      <c r="B3" s="74" t="s">
        <v>1273</v>
      </c>
    </row>
    <row r="5" spans="1:12" x14ac:dyDescent="0.5">
      <c r="A5" s="24" t="s">
        <v>256</v>
      </c>
      <c r="B5" s="24" t="s">
        <v>23</v>
      </c>
      <c r="C5" s="24" t="s">
        <v>254</v>
      </c>
      <c r="D5" s="24" t="s">
        <v>260</v>
      </c>
      <c r="E5" s="24" t="s">
        <v>261</v>
      </c>
      <c r="F5" s="24" t="s">
        <v>269</v>
      </c>
      <c r="G5" s="24" t="s">
        <v>267</v>
      </c>
      <c r="H5" s="24" t="s">
        <v>14</v>
      </c>
      <c r="I5" s="74" t="s">
        <v>1274</v>
      </c>
      <c r="J5" s="74"/>
      <c r="K5" s="74"/>
      <c r="L5" s="74"/>
    </row>
    <row r="6" spans="1:12" x14ac:dyDescent="0.5">
      <c r="A6" s="74" t="s">
        <v>329</v>
      </c>
      <c r="B6" s="74" t="s">
        <v>1275</v>
      </c>
      <c r="C6" s="74" t="s">
        <v>333</v>
      </c>
      <c r="D6" s="74" t="s">
        <v>1276</v>
      </c>
      <c r="E6" s="74" t="s">
        <v>1276</v>
      </c>
      <c r="F6" s="74" t="s">
        <v>1276</v>
      </c>
      <c r="G6" s="74" t="s">
        <v>1276</v>
      </c>
      <c r="H6" s="74">
        <v>2</v>
      </c>
      <c r="I6" s="74">
        <v>2</v>
      </c>
      <c r="J6" s="74"/>
      <c r="K6" s="74"/>
      <c r="L6" s="74"/>
    </row>
    <row r="7" spans="1:12" x14ac:dyDescent="0.5">
      <c r="A7" s="74" t="s">
        <v>495</v>
      </c>
      <c r="B7" s="74" t="s">
        <v>1277</v>
      </c>
      <c r="C7" s="74" t="s">
        <v>333</v>
      </c>
      <c r="D7" s="74" t="s">
        <v>1276</v>
      </c>
      <c r="E7" s="74" t="s">
        <v>1276</v>
      </c>
      <c r="F7" s="74" t="s">
        <v>1276</v>
      </c>
      <c r="G7" s="74" t="s">
        <v>1276</v>
      </c>
      <c r="H7" s="74">
        <v>2</v>
      </c>
      <c r="I7" s="74">
        <v>2</v>
      </c>
      <c r="J7" s="74"/>
      <c r="K7" s="74"/>
      <c r="L7" s="74"/>
    </row>
    <row r="8" spans="1:12" x14ac:dyDescent="0.5">
      <c r="A8" s="74" t="s">
        <v>1278</v>
      </c>
      <c r="B8" s="74" t="s">
        <v>1279</v>
      </c>
      <c r="C8" s="74" t="s">
        <v>333</v>
      </c>
      <c r="D8" s="74" t="s">
        <v>1276</v>
      </c>
      <c r="E8" s="74" t="s">
        <v>1276</v>
      </c>
      <c r="F8" s="74" t="s">
        <v>1276</v>
      </c>
      <c r="G8" s="74" t="s">
        <v>1276</v>
      </c>
      <c r="H8" s="74">
        <v>2</v>
      </c>
      <c r="I8" s="74">
        <v>2</v>
      </c>
      <c r="J8" s="74"/>
      <c r="K8" s="74"/>
      <c r="L8" s="74"/>
    </row>
    <row r="9" spans="1:12" x14ac:dyDescent="0.5">
      <c r="A9" s="74" t="s">
        <v>1280</v>
      </c>
      <c r="B9" s="74" t="s">
        <v>1281</v>
      </c>
      <c r="C9" s="74" t="s">
        <v>333</v>
      </c>
      <c r="D9" s="74" t="s">
        <v>1276</v>
      </c>
      <c r="E9" s="74" t="s">
        <v>1276</v>
      </c>
      <c r="F9" s="74" t="s">
        <v>1276</v>
      </c>
      <c r="G9" s="74" t="s">
        <v>1276</v>
      </c>
      <c r="H9" s="74">
        <v>2</v>
      </c>
      <c r="I9" s="74">
        <v>2</v>
      </c>
      <c r="J9" s="74"/>
      <c r="K9" s="74"/>
      <c r="L9" s="74"/>
    </row>
    <row r="10" spans="1:12" x14ac:dyDescent="0.5">
      <c r="A10" s="74" t="s">
        <v>635</v>
      </c>
      <c r="B10" s="74" t="s">
        <v>1282</v>
      </c>
      <c r="C10" s="74" t="s">
        <v>333</v>
      </c>
      <c r="D10" s="74" t="s">
        <v>1276</v>
      </c>
      <c r="E10" s="74" t="s">
        <v>1276</v>
      </c>
      <c r="F10" s="74" t="s">
        <v>1276</v>
      </c>
      <c r="G10" s="74" t="s">
        <v>1276</v>
      </c>
      <c r="H10" s="74">
        <v>2</v>
      </c>
      <c r="I10" s="74">
        <v>2</v>
      </c>
      <c r="J10" s="74"/>
      <c r="K10" s="74"/>
      <c r="L10" s="74"/>
    </row>
    <row r="11" spans="1:12" x14ac:dyDescent="0.5">
      <c r="A11" s="74" t="s">
        <v>463</v>
      </c>
      <c r="B11" s="74" t="s">
        <v>1283</v>
      </c>
      <c r="C11" s="74" t="s">
        <v>333</v>
      </c>
      <c r="D11" s="74" t="s">
        <v>1276</v>
      </c>
      <c r="E11" s="74" t="s">
        <v>1276</v>
      </c>
      <c r="F11" s="74" t="s">
        <v>1276</v>
      </c>
      <c r="G11" s="74" t="s">
        <v>1276</v>
      </c>
      <c r="H11" s="74">
        <v>5</v>
      </c>
      <c r="I11" s="74">
        <v>5</v>
      </c>
      <c r="J11" s="74"/>
      <c r="K11" s="74"/>
      <c r="L11" s="74"/>
    </row>
    <row r="12" spans="1:12" x14ac:dyDescent="0.5">
      <c r="A12" s="74" t="s">
        <v>754</v>
      </c>
      <c r="B12" s="74" t="s">
        <v>1284</v>
      </c>
      <c r="C12" s="74" t="s">
        <v>333</v>
      </c>
      <c r="D12" s="74" t="s">
        <v>1276</v>
      </c>
      <c r="E12" s="74" t="s">
        <v>1276</v>
      </c>
      <c r="F12" s="74" t="s">
        <v>1276</v>
      </c>
      <c r="G12" s="74" t="s">
        <v>1276</v>
      </c>
      <c r="H12" s="74">
        <v>2</v>
      </c>
      <c r="I12" s="74">
        <v>2</v>
      </c>
      <c r="J12" s="74"/>
      <c r="K12" s="74"/>
      <c r="L12" s="74"/>
    </row>
    <row r="13" spans="1:12" x14ac:dyDescent="0.5">
      <c r="A13" s="74" t="s">
        <v>297</v>
      </c>
      <c r="B13" s="74" t="s">
        <v>1285</v>
      </c>
      <c r="C13" s="74" t="s">
        <v>333</v>
      </c>
      <c r="D13" s="74" t="s">
        <v>1276</v>
      </c>
      <c r="E13" s="74" t="s">
        <v>1276</v>
      </c>
      <c r="F13" s="74" t="s">
        <v>1276</v>
      </c>
      <c r="G13" s="74" t="s">
        <v>1276</v>
      </c>
      <c r="H13" s="74">
        <v>8</v>
      </c>
      <c r="I13" s="74">
        <v>8</v>
      </c>
      <c r="J13" s="74"/>
      <c r="K13" s="74"/>
      <c r="L13" s="74"/>
    </row>
    <row r="14" spans="1:12" x14ac:dyDescent="0.5">
      <c r="A14" s="74" t="s">
        <v>1286</v>
      </c>
      <c r="B14" s="74" t="s">
        <v>1287</v>
      </c>
      <c r="C14" s="74" t="s">
        <v>333</v>
      </c>
      <c r="D14" s="74" t="s">
        <v>1276</v>
      </c>
      <c r="E14" s="74" t="s">
        <v>1276</v>
      </c>
      <c r="F14" s="74" t="s">
        <v>1276</v>
      </c>
      <c r="G14" s="74" t="s">
        <v>1276</v>
      </c>
      <c r="H14" s="74">
        <v>2</v>
      </c>
      <c r="I14" s="74">
        <v>2</v>
      </c>
      <c r="J14" s="74"/>
      <c r="K14" s="74"/>
      <c r="L14" s="74"/>
    </row>
    <row r="15" spans="1:12" x14ac:dyDescent="0.5">
      <c r="A15" s="74" t="s">
        <v>1288</v>
      </c>
      <c r="B15" s="74" t="s">
        <v>1289</v>
      </c>
      <c r="C15" s="74" t="s">
        <v>333</v>
      </c>
      <c r="D15" s="74" t="s">
        <v>1276</v>
      </c>
      <c r="E15" s="74" t="s">
        <v>1276</v>
      </c>
      <c r="F15" s="74" t="s">
        <v>1276</v>
      </c>
      <c r="G15" s="74" t="s">
        <v>1276</v>
      </c>
      <c r="H15" s="74">
        <v>2</v>
      </c>
      <c r="I15" s="74">
        <v>2</v>
      </c>
      <c r="J15" s="74"/>
      <c r="K15" s="74"/>
      <c r="L15" s="74"/>
    </row>
    <row r="16" spans="1:12" x14ac:dyDescent="0.5">
      <c r="A16" s="74" t="s">
        <v>1290</v>
      </c>
      <c r="B16" s="74" t="s">
        <v>1291</v>
      </c>
      <c r="C16" s="74" t="s">
        <v>333</v>
      </c>
      <c r="D16" s="74" t="s">
        <v>1276</v>
      </c>
      <c r="E16" s="74" t="s">
        <v>1276</v>
      </c>
      <c r="F16" s="74" t="s">
        <v>1276</v>
      </c>
      <c r="G16" s="74" t="s">
        <v>1276</v>
      </c>
      <c r="H16" s="74">
        <v>2</v>
      </c>
      <c r="I16" s="74">
        <v>2</v>
      </c>
      <c r="J16" s="74"/>
      <c r="K16" s="74"/>
      <c r="L16" s="74"/>
    </row>
    <row r="17" spans="1:12" x14ac:dyDescent="0.5">
      <c r="A17" s="74" t="s">
        <v>1292</v>
      </c>
      <c r="B17" s="74" t="s">
        <v>1293</v>
      </c>
      <c r="C17" s="74" t="s">
        <v>333</v>
      </c>
      <c r="D17" s="74" t="s">
        <v>1276</v>
      </c>
      <c r="E17" s="74" t="s">
        <v>1276</v>
      </c>
      <c r="F17" s="74" t="s">
        <v>1276</v>
      </c>
      <c r="G17" s="74" t="s">
        <v>1276</v>
      </c>
      <c r="H17" s="74">
        <v>2</v>
      </c>
      <c r="I17" s="74">
        <v>2</v>
      </c>
      <c r="J17" s="74"/>
      <c r="K17" s="74"/>
      <c r="L17" s="74"/>
    </row>
    <row r="18" spans="1:12" x14ac:dyDescent="0.5">
      <c r="A18" s="74" t="s">
        <v>1294</v>
      </c>
      <c r="B18" s="74" t="s">
        <v>1295</v>
      </c>
      <c r="C18" s="74" t="s">
        <v>333</v>
      </c>
      <c r="D18" s="74" t="s">
        <v>1276</v>
      </c>
      <c r="E18" s="74" t="s">
        <v>1276</v>
      </c>
      <c r="F18" s="74" t="s">
        <v>1276</v>
      </c>
      <c r="G18" s="74" t="s">
        <v>1276</v>
      </c>
      <c r="H18" s="74">
        <v>2</v>
      </c>
      <c r="I18" s="74">
        <v>2</v>
      </c>
      <c r="J18" s="74"/>
      <c r="K18" s="74"/>
      <c r="L18" s="74"/>
    </row>
    <row r="19" spans="1:12" x14ac:dyDescent="0.5">
      <c r="A19" s="74" t="s">
        <v>1296</v>
      </c>
      <c r="B19" s="74"/>
      <c r="C19" s="74"/>
      <c r="D19" s="74"/>
      <c r="E19" s="74"/>
      <c r="F19" s="74"/>
      <c r="G19" s="74"/>
      <c r="H19" s="74"/>
      <c r="I19" s="74">
        <v>35</v>
      </c>
      <c r="J19" s="74"/>
      <c r="K19" s="74"/>
      <c r="L19" s="74"/>
    </row>
    <row r="20" spans="1:12" x14ac:dyDescent="0.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</row>
    <row r="21" spans="1:12" x14ac:dyDescent="0.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</row>
    <row r="22" spans="1:12" x14ac:dyDescent="0.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1:12" x14ac:dyDescent="0.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</row>
    <row r="24" spans="1:12" x14ac:dyDescent="0.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</row>
    <row r="25" spans="1:12" x14ac:dyDescent="0.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1:12" x14ac:dyDescent="0.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1:12" x14ac:dyDescent="0.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2" x14ac:dyDescent="0.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1:12" x14ac:dyDescent="0.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1:12" x14ac:dyDescent="0.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1:12" x14ac:dyDescent="0.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1:12" x14ac:dyDescent="0.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</row>
    <row r="33" spans="1:12" x14ac:dyDescent="0.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</row>
    <row r="34" spans="1:12" x14ac:dyDescent="0.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</row>
    <row r="35" spans="1:12" x14ac:dyDescent="0.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</row>
    <row r="36" spans="1:12" x14ac:dyDescent="0.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</row>
    <row r="37" spans="1:12" x14ac:dyDescent="0.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</row>
    <row r="38" spans="1:12" x14ac:dyDescent="0.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</row>
    <row r="39" spans="1:12" x14ac:dyDescent="0.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</row>
    <row r="40" spans="1:12" x14ac:dyDescent="0.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</row>
    <row r="41" spans="1:12" x14ac:dyDescent="0.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</row>
    <row r="42" spans="1:12" x14ac:dyDescent="0.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</row>
    <row r="43" spans="1:12" x14ac:dyDescent="0.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</row>
    <row r="44" spans="1:12" x14ac:dyDescent="0.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</row>
    <row r="45" spans="1:12" x14ac:dyDescent="0.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</row>
    <row r="46" spans="1:12" x14ac:dyDescent="0.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</row>
    <row r="47" spans="1:12" x14ac:dyDescent="0.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</row>
    <row r="48" spans="1:12" x14ac:dyDescent="0.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</row>
    <row r="49" spans="1:12" x14ac:dyDescent="0.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</row>
    <row r="50" spans="1:12" x14ac:dyDescent="0.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</row>
    <row r="51" spans="1:12" x14ac:dyDescent="0.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</row>
    <row r="52" spans="1:12" x14ac:dyDescent="0.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</row>
    <row r="53" spans="1:12" x14ac:dyDescent="0.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</row>
    <row r="54" spans="1:12" x14ac:dyDescent="0.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</row>
    <row r="55" spans="1:12" x14ac:dyDescent="0.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</row>
    <row r="56" spans="1:12" x14ac:dyDescent="0.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</row>
    <row r="57" spans="1:12" x14ac:dyDescent="0.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</row>
    <row r="58" spans="1:12" x14ac:dyDescent="0.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</row>
    <row r="59" spans="1:12" x14ac:dyDescent="0.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</row>
    <row r="60" spans="1:12" x14ac:dyDescent="0.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</row>
    <row r="61" spans="1:12" x14ac:dyDescent="0.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</row>
    <row r="62" spans="1:12" x14ac:dyDescent="0.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</row>
    <row r="63" spans="1:12" x14ac:dyDescent="0.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</row>
    <row r="64" spans="1:12" x14ac:dyDescent="0.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</row>
    <row r="65" spans="1:12" x14ac:dyDescent="0.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</row>
    <row r="66" spans="1:12" x14ac:dyDescent="0.5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</row>
    <row r="67" spans="1:12" x14ac:dyDescent="0.5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</row>
    <row r="68" spans="1:12" x14ac:dyDescent="0.5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</row>
    <row r="69" spans="1:12" x14ac:dyDescent="0.5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</row>
    <row r="70" spans="1:12" x14ac:dyDescent="0.5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</row>
    <row r="71" spans="1:12" x14ac:dyDescent="0.5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</row>
    <row r="72" spans="1:12" x14ac:dyDescent="0.5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</row>
    <row r="73" spans="1:12" x14ac:dyDescent="0.5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</row>
    <row r="74" spans="1:12" x14ac:dyDescent="0.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</row>
    <row r="75" spans="1:12" x14ac:dyDescent="0.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</row>
    <row r="76" spans="1:12" x14ac:dyDescent="0.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</row>
    <row r="77" spans="1:12" x14ac:dyDescent="0.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</row>
    <row r="78" spans="1:12" x14ac:dyDescent="0.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</row>
    <row r="79" spans="1:12" x14ac:dyDescent="0.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</row>
    <row r="80" spans="1:12" x14ac:dyDescent="0.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</row>
    <row r="81" spans="1:12" x14ac:dyDescent="0.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</row>
    <row r="82" spans="1:12" x14ac:dyDescent="0.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</row>
    <row r="83" spans="1:12" x14ac:dyDescent="0.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</row>
    <row r="84" spans="1:12" x14ac:dyDescent="0.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</row>
    <row r="85" spans="1:12" x14ac:dyDescent="0.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</row>
    <row r="86" spans="1:12" x14ac:dyDescent="0.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</row>
    <row r="87" spans="1:12" x14ac:dyDescent="0.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</row>
    <row r="88" spans="1:12" x14ac:dyDescent="0.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</row>
    <row r="89" spans="1:12" x14ac:dyDescent="0.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</row>
    <row r="90" spans="1:12" x14ac:dyDescent="0.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</row>
    <row r="91" spans="1:12" x14ac:dyDescent="0.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</row>
    <row r="92" spans="1:12" x14ac:dyDescent="0.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</row>
    <row r="93" spans="1:12" x14ac:dyDescent="0.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</row>
    <row r="94" spans="1:12" x14ac:dyDescent="0.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</row>
    <row r="95" spans="1:12" x14ac:dyDescent="0.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</row>
    <row r="96" spans="1:12" x14ac:dyDescent="0.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</row>
    <row r="97" spans="1:12" x14ac:dyDescent="0.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</row>
    <row r="98" spans="1:12" x14ac:dyDescent="0.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</row>
    <row r="99" spans="1:12" x14ac:dyDescent="0.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</row>
    <row r="100" spans="1:12" x14ac:dyDescent="0.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</row>
    <row r="101" spans="1:12" x14ac:dyDescent="0.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</row>
    <row r="102" spans="1:12" x14ac:dyDescent="0.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</row>
    <row r="103" spans="1:12" x14ac:dyDescent="0.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</row>
    <row r="104" spans="1:12" x14ac:dyDescent="0.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</row>
    <row r="105" spans="1:12" x14ac:dyDescent="0.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</row>
    <row r="106" spans="1:12" x14ac:dyDescent="0.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</row>
    <row r="107" spans="1:12" x14ac:dyDescent="0.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</row>
    <row r="108" spans="1:12" x14ac:dyDescent="0.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</row>
    <row r="109" spans="1:12" x14ac:dyDescent="0.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</row>
    <row r="110" spans="1:12" x14ac:dyDescent="0.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</row>
    <row r="111" spans="1:12" x14ac:dyDescent="0.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</row>
    <row r="112" spans="1:12" x14ac:dyDescent="0.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</row>
    <row r="113" spans="1:12" x14ac:dyDescent="0.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</row>
    <row r="114" spans="1:12" x14ac:dyDescent="0.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</row>
    <row r="115" spans="1:12" x14ac:dyDescent="0.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</row>
    <row r="116" spans="1:12" x14ac:dyDescent="0.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</row>
    <row r="117" spans="1:12" x14ac:dyDescent="0.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</row>
    <row r="118" spans="1:12" x14ac:dyDescent="0.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</row>
    <row r="119" spans="1:12" x14ac:dyDescent="0.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</row>
    <row r="120" spans="1:12" x14ac:dyDescent="0.5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</row>
    <row r="121" spans="1:12" x14ac:dyDescent="0.5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</row>
    <row r="122" spans="1:12" x14ac:dyDescent="0.5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</row>
    <row r="123" spans="1:12" x14ac:dyDescent="0.5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</row>
    <row r="124" spans="1:12" x14ac:dyDescent="0.5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</row>
    <row r="125" spans="1:12" x14ac:dyDescent="0.5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</row>
    <row r="126" spans="1:12" x14ac:dyDescent="0.5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</row>
    <row r="127" spans="1:12" x14ac:dyDescent="0.5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</row>
    <row r="128" spans="1:12" x14ac:dyDescent="0.5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</row>
    <row r="129" spans="1:12" x14ac:dyDescent="0.5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</row>
    <row r="130" spans="1:12" x14ac:dyDescent="0.5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</row>
    <row r="131" spans="1:12" x14ac:dyDescent="0.5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</row>
    <row r="132" spans="1:12" x14ac:dyDescent="0.5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</row>
    <row r="133" spans="1:12" x14ac:dyDescent="0.5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</row>
    <row r="134" spans="1:12" x14ac:dyDescent="0.5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</row>
    <row r="135" spans="1:12" x14ac:dyDescent="0.5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</row>
    <row r="136" spans="1:12" x14ac:dyDescent="0.5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</row>
    <row r="137" spans="1:12" x14ac:dyDescent="0.5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</row>
    <row r="138" spans="1:12" x14ac:dyDescent="0.5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</row>
    <row r="139" spans="1:12" x14ac:dyDescent="0.5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</row>
    <row r="140" spans="1:12" x14ac:dyDescent="0.5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</row>
    <row r="141" spans="1:12" x14ac:dyDescent="0.5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</row>
    <row r="142" spans="1:12" x14ac:dyDescent="0.5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</row>
    <row r="143" spans="1:12" x14ac:dyDescent="0.5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</row>
    <row r="144" spans="1:12" x14ac:dyDescent="0.5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</row>
    <row r="145" spans="1:12" x14ac:dyDescent="0.5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</row>
    <row r="146" spans="1:12" x14ac:dyDescent="0.5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</row>
    <row r="147" spans="1:12" x14ac:dyDescent="0.5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</row>
    <row r="148" spans="1:12" x14ac:dyDescent="0.5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</row>
    <row r="149" spans="1:12" x14ac:dyDescent="0.5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</row>
    <row r="150" spans="1:12" x14ac:dyDescent="0.5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</row>
    <row r="151" spans="1:12" x14ac:dyDescent="0.5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</row>
    <row r="152" spans="1:12" x14ac:dyDescent="0.5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</row>
    <row r="153" spans="1:12" x14ac:dyDescent="0.5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</row>
    <row r="154" spans="1:12" x14ac:dyDescent="0.5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</row>
    <row r="155" spans="1:12" x14ac:dyDescent="0.5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</row>
    <row r="156" spans="1:12" x14ac:dyDescent="0.5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</row>
    <row r="157" spans="1:12" x14ac:dyDescent="0.5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</row>
    <row r="158" spans="1:12" x14ac:dyDescent="0.5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</row>
    <row r="159" spans="1:12" x14ac:dyDescent="0.5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</row>
    <row r="160" spans="1:12" x14ac:dyDescent="0.5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</row>
    <row r="161" spans="1:12" x14ac:dyDescent="0.5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</row>
    <row r="162" spans="1:12" x14ac:dyDescent="0.5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</row>
    <row r="163" spans="1:12" x14ac:dyDescent="0.5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</row>
    <row r="164" spans="1:12" x14ac:dyDescent="0.5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</row>
    <row r="165" spans="1:12" x14ac:dyDescent="0.5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</row>
    <row r="166" spans="1:12" x14ac:dyDescent="0.5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</row>
    <row r="167" spans="1:12" x14ac:dyDescent="0.5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</row>
    <row r="168" spans="1:12" x14ac:dyDescent="0.5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</row>
    <row r="169" spans="1:12" x14ac:dyDescent="0.5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</row>
    <row r="170" spans="1:12" x14ac:dyDescent="0.5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</row>
    <row r="171" spans="1:12" x14ac:dyDescent="0.5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</row>
    <row r="172" spans="1:12" x14ac:dyDescent="0.5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</row>
    <row r="173" spans="1:12" x14ac:dyDescent="0.5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</row>
    <row r="174" spans="1:12" x14ac:dyDescent="0.5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</row>
    <row r="175" spans="1:12" x14ac:dyDescent="0.5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</row>
    <row r="176" spans="1:12" x14ac:dyDescent="0.5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</row>
    <row r="177" spans="1:12" x14ac:dyDescent="0.5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</row>
    <row r="178" spans="1:12" x14ac:dyDescent="0.5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</row>
    <row r="179" spans="1:12" x14ac:dyDescent="0.5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</row>
    <row r="180" spans="1:12" x14ac:dyDescent="0.5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</row>
    <row r="181" spans="1:12" x14ac:dyDescent="0.5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</row>
    <row r="182" spans="1:12" x14ac:dyDescent="0.5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</row>
    <row r="183" spans="1:12" x14ac:dyDescent="0.5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</row>
    <row r="184" spans="1:12" x14ac:dyDescent="0.5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</row>
    <row r="185" spans="1:12" x14ac:dyDescent="0.5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</row>
    <row r="186" spans="1:12" x14ac:dyDescent="0.5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</row>
    <row r="187" spans="1:12" x14ac:dyDescent="0.5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</row>
    <row r="188" spans="1:12" x14ac:dyDescent="0.5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</row>
    <row r="189" spans="1:12" x14ac:dyDescent="0.5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</row>
    <row r="190" spans="1:12" x14ac:dyDescent="0.5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</row>
    <row r="191" spans="1:12" x14ac:dyDescent="0.5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</row>
    <row r="192" spans="1:12" x14ac:dyDescent="0.5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</row>
    <row r="193" spans="1:12" x14ac:dyDescent="0.5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</row>
    <row r="194" spans="1:12" x14ac:dyDescent="0.5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</row>
    <row r="195" spans="1:12" x14ac:dyDescent="0.5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</row>
    <row r="196" spans="1:12" x14ac:dyDescent="0.5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</row>
    <row r="197" spans="1:12" x14ac:dyDescent="0.5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</row>
    <row r="198" spans="1:12" x14ac:dyDescent="0.5">
      <c r="A198" s="74"/>
      <c r="B198" s="74"/>
      <c r="C198" s="74"/>
      <c r="D198" s="74"/>
      <c r="E198" s="74"/>
      <c r="F198" s="74"/>
      <c r="G198" s="74"/>
      <c r="H198" s="74"/>
      <c r="I198" s="74"/>
      <c r="J198" s="74"/>
    </row>
    <row r="199" spans="1:12" x14ac:dyDescent="0.5">
      <c r="A199" s="74"/>
      <c r="B199" s="74"/>
      <c r="C199" s="74"/>
      <c r="D199" s="74"/>
      <c r="E199" s="74"/>
      <c r="F199" s="74"/>
      <c r="G199" s="74"/>
      <c r="H199" s="74"/>
      <c r="I199" s="74"/>
      <c r="J199" s="74"/>
    </row>
    <row r="200" spans="1:12" x14ac:dyDescent="0.5">
      <c r="A200" s="74"/>
      <c r="B200" s="74"/>
      <c r="C200" s="74"/>
      <c r="D200" s="74"/>
      <c r="E200" s="74"/>
      <c r="F200" s="74"/>
      <c r="G200" s="74"/>
      <c r="H200" s="74"/>
      <c r="I200" s="74"/>
      <c r="J200" s="74"/>
    </row>
    <row r="201" spans="1:12" x14ac:dyDescent="0.5">
      <c r="A201" s="74"/>
      <c r="B201" s="74"/>
      <c r="C201" s="74"/>
      <c r="D201" s="74"/>
      <c r="E201" s="74"/>
      <c r="F201" s="74"/>
      <c r="G201" s="74"/>
      <c r="H201" s="74"/>
      <c r="I201" s="74"/>
      <c r="J201" s="74"/>
    </row>
    <row r="202" spans="1:12" x14ac:dyDescent="0.5">
      <c r="A202" s="74"/>
      <c r="B202" s="74"/>
      <c r="C202" s="74"/>
      <c r="D202" s="74"/>
      <c r="E202" s="74"/>
      <c r="F202" s="74"/>
      <c r="G202" s="74"/>
      <c r="H202" s="74"/>
      <c r="I202" s="74"/>
      <c r="J202" s="74"/>
    </row>
    <row r="203" spans="1:12" x14ac:dyDescent="0.5">
      <c r="A203" s="74"/>
      <c r="B203" s="74"/>
      <c r="C203" s="74"/>
      <c r="D203" s="74"/>
      <c r="E203" s="74"/>
      <c r="F203" s="74"/>
      <c r="G203" s="74"/>
      <c r="H203" s="74"/>
      <c r="I203" s="74"/>
      <c r="J203" s="74"/>
    </row>
    <row r="204" spans="1:12" x14ac:dyDescent="0.5">
      <c r="A204" s="74"/>
      <c r="B204" s="74"/>
      <c r="C204" s="74"/>
      <c r="D204" s="74"/>
      <c r="E204" s="74"/>
      <c r="F204" s="74"/>
      <c r="G204" s="74"/>
      <c r="H204" s="74"/>
      <c r="I204" s="74"/>
      <c r="J204" s="74"/>
    </row>
    <row r="205" spans="1:12" x14ac:dyDescent="0.5">
      <c r="A205" s="74"/>
      <c r="B205" s="74"/>
      <c r="C205" s="74"/>
      <c r="D205" s="74"/>
      <c r="E205" s="74"/>
      <c r="F205" s="74"/>
      <c r="G205" s="74"/>
      <c r="H205" s="74"/>
      <c r="I205" s="74"/>
      <c r="J205" s="74"/>
    </row>
    <row r="206" spans="1:12" x14ac:dyDescent="0.5">
      <c r="A206" s="74"/>
      <c r="B206" s="74"/>
      <c r="C206" s="74"/>
      <c r="D206" s="74"/>
      <c r="E206" s="74"/>
      <c r="F206" s="74"/>
      <c r="G206" s="74"/>
      <c r="H206" s="74"/>
      <c r="I206" s="74"/>
      <c r="J206" s="74"/>
    </row>
    <row r="207" spans="1:12" x14ac:dyDescent="0.5">
      <c r="A207" s="74"/>
      <c r="B207" s="74"/>
      <c r="C207" s="74"/>
      <c r="D207" s="74"/>
      <c r="E207" s="74"/>
      <c r="F207" s="74"/>
      <c r="G207" s="74"/>
      <c r="H207" s="74"/>
      <c r="I207" s="74"/>
      <c r="J207" s="74"/>
    </row>
    <row r="208" spans="1:12" x14ac:dyDescent="0.5">
      <c r="A208" s="74"/>
      <c r="B208" s="74"/>
      <c r="C208" s="74"/>
      <c r="D208" s="74"/>
      <c r="E208" s="74"/>
      <c r="F208" s="74"/>
      <c r="G208" s="74"/>
      <c r="H208" s="74"/>
      <c r="I208" s="74"/>
      <c r="J208" s="74"/>
    </row>
    <row r="209" spans="1:10" x14ac:dyDescent="0.5">
      <c r="A209" s="74"/>
      <c r="B209" s="74"/>
      <c r="C209" s="74"/>
      <c r="D209" s="74"/>
      <c r="E209" s="74"/>
      <c r="F209" s="74"/>
      <c r="G209" s="74"/>
      <c r="H209" s="74"/>
      <c r="I209" s="74"/>
      <c r="J209" s="74"/>
    </row>
    <row r="210" spans="1:10" x14ac:dyDescent="0.5">
      <c r="A210" s="74"/>
      <c r="B210" s="74"/>
      <c r="C210" s="74"/>
      <c r="D210" s="74"/>
      <c r="E210" s="74"/>
      <c r="F210" s="74"/>
      <c r="G210" s="74"/>
      <c r="H210" s="74"/>
      <c r="I210" s="74"/>
      <c r="J210" s="74"/>
    </row>
    <row r="211" spans="1:10" x14ac:dyDescent="0.5">
      <c r="A211" s="74"/>
      <c r="B211" s="74"/>
      <c r="C211" s="74"/>
      <c r="D211" s="74"/>
      <c r="E211" s="74"/>
      <c r="F211" s="74"/>
      <c r="G211" s="74"/>
      <c r="H211" s="74"/>
      <c r="I211" s="74"/>
      <c r="J211" s="74"/>
    </row>
    <row r="212" spans="1:10" x14ac:dyDescent="0.5">
      <c r="A212" s="74"/>
      <c r="B212" s="74"/>
      <c r="C212" s="74"/>
      <c r="D212" s="74"/>
      <c r="E212" s="74"/>
      <c r="F212" s="74"/>
      <c r="G212" s="74"/>
      <c r="H212" s="74"/>
      <c r="I212" s="74"/>
      <c r="J212" s="74"/>
    </row>
    <row r="213" spans="1:10" x14ac:dyDescent="0.5">
      <c r="A213" s="74"/>
      <c r="B213" s="74"/>
      <c r="C213" s="74"/>
      <c r="D213" s="74"/>
      <c r="E213" s="74"/>
      <c r="F213" s="74"/>
      <c r="G213" s="74"/>
      <c r="H213" s="74"/>
      <c r="I213" s="74"/>
      <c r="J213" s="74"/>
    </row>
    <row r="214" spans="1:10" x14ac:dyDescent="0.5">
      <c r="A214" s="74"/>
      <c r="B214" s="74"/>
      <c r="C214" s="74"/>
      <c r="D214" s="74"/>
      <c r="E214" s="74"/>
      <c r="F214" s="74"/>
      <c r="G214" s="74"/>
      <c r="H214" s="74"/>
      <c r="I214" s="74"/>
      <c r="J214" s="74"/>
    </row>
    <row r="215" spans="1:10" x14ac:dyDescent="0.5">
      <c r="A215" s="74"/>
      <c r="B215" s="74"/>
      <c r="C215" s="74"/>
      <c r="D215" s="74"/>
      <c r="E215" s="74"/>
      <c r="F215" s="74"/>
      <c r="G215" s="74"/>
      <c r="H215" s="74"/>
      <c r="I215" s="74"/>
      <c r="J215" s="74"/>
    </row>
    <row r="216" spans="1:10" x14ac:dyDescent="0.5">
      <c r="A216" s="74"/>
      <c r="B216" s="74"/>
      <c r="C216" s="74"/>
      <c r="D216" s="74"/>
      <c r="E216" s="74"/>
      <c r="F216" s="74"/>
      <c r="G216" s="74"/>
      <c r="H216" s="74"/>
      <c r="I216" s="74"/>
      <c r="J216" s="74"/>
    </row>
    <row r="217" spans="1:10" x14ac:dyDescent="0.5">
      <c r="A217" s="74"/>
      <c r="B217" s="74"/>
      <c r="C217" s="74"/>
      <c r="D217" s="74"/>
      <c r="E217" s="74"/>
      <c r="F217" s="74"/>
      <c r="G217" s="74"/>
      <c r="H217" s="74"/>
      <c r="I217" s="74"/>
      <c r="J217" s="74"/>
    </row>
    <row r="218" spans="1:10" x14ac:dyDescent="0.5">
      <c r="A218" s="74"/>
      <c r="B218" s="74"/>
      <c r="C218" s="74"/>
      <c r="D218" s="74"/>
      <c r="E218" s="74"/>
      <c r="F218" s="74"/>
      <c r="G218" s="74"/>
      <c r="H218" s="74"/>
      <c r="I218" s="74"/>
      <c r="J218" s="74"/>
    </row>
    <row r="219" spans="1:10" x14ac:dyDescent="0.5">
      <c r="A219" s="74"/>
      <c r="B219" s="74"/>
      <c r="C219" s="74"/>
      <c r="D219" s="74"/>
      <c r="E219" s="74"/>
      <c r="F219" s="74"/>
      <c r="G219" s="74"/>
      <c r="H219" s="74"/>
      <c r="I219" s="74"/>
      <c r="J219" s="74"/>
    </row>
    <row r="220" spans="1:10" x14ac:dyDescent="0.5">
      <c r="A220" s="74"/>
      <c r="B220" s="74"/>
      <c r="C220" s="74"/>
      <c r="D220" s="74"/>
      <c r="E220" s="74"/>
      <c r="F220" s="74"/>
      <c r="G220" s="74"/>
      <c r="H220" s="74"/>
      <c r="I220" s="74"/>
      <c r="J220" s="74"/>
    </row>
    <row r="221" spans="1:10" x14ac:dyDescent="0.5">
      <c r="A221" s="74"/>
      <c r="B221" s="74"/>
      <c r="C221" s="74"/>
      <c r="D221" s="74"/>
      <c r="E221" s="74"/>
      <c r="F221" s="74"/>
      <c r="G221" s="74"/>
      <c r="H221" s="74"/>
      <c r="I221" s="74"/>
      <c r="J221" s="74"/>
    </row>
    <row r="222" spans="1:10" x14ac:dyDescent="0.5">
      <c r="A222" s="74"/>
      <c r="B222" s="74"/>
      <c r="C222" s="74"/>
      <c r="D222" s="74"/>
      <c r="E222" s="74"/>
      <c r="F222" s="74"/>
      <c r="G222" s="74"/>
      <c r="H222" s="74"/>
      <c r="I222" s="74"/>
      <c r="J222" s="74"/>
    </row>
    <row r="223" spans="1:10" x14ac:dyDescent="0.5">
      <c r="A223" s="74"/>
      <c r="B223" s="74"/>
      <c r="C223" s="74"/>
      <c r="D223" s="74"/>
      <c r="E223" s="74"/>
      <c r="F223" s="74"/>
      <c r="G223" s="74"/>
      <c r="H223" s="74"/>
      <c r="I223" s="74"/>
      <c r="J223" s="74"/>
    </row>
    <row r="224" spans="1:10" x14ac:dyDescent="0.5">
      <c r="A224" s="74"/>
      <c r="B224" s="74"/>
      <c r="C224" s="74"/>
      <c r="D224" s="74"/>
      <c r="E224" s="74"/>
      <c r="F224" s="74"/>
      <c r="G224" s="74"/>
      <c r="H224" s="74"/>
      <c r="I224" s="74"/>
      <c r="J224" s="74"/>
    </row>
    <row r="225" spans="1:10" x14ac:dyDescent="0.5">
      <c r="A225" s="74"/>
      <c r="B225" s="74"/>
      <c r="C225" s="74"/>
      <c r="D225" s="74"/>
      <c r="E225" s="74"/>
      <c r="F225" s="74"/>
      <c r="G225" s="74"/>
      <c r="H225" s="74"/>
      <c r="I225" s="74"/>
      <c r="J225" s="74"/>
    </row>
    <row r="226" spans="1:10" x14ac:dyDescent="0.5">
      <c r="A226" s="74"/>
      <c r="B226" s="74"/>
      <c r="C226" s="74"/>
      <c r="D226" s="74"/>
      <c r="E226" s="74"/>
      <c r="F226" s="74"/>
      <c r="G226" s="74"/>
      <c r="H226" s="74"/>
      <c r="I226" s="74"/>
      <c r="J226" s="74"/>
    </row>
    <row r="227" spans="1:10" x14ac:dyDescent="0.5">
      <c r="A227" s="74"/>
      <c r="B227" s="74"/>
      <c r="C227" s="74"/>
      <c r="D227" s="74"/>
      <c r="E227" s="74"/>
      <c r="F227" s="74"/>
      <c r="G227" s="74"/>
      <c r="H227" s="74"/>
      <c r="I227" s="74"/>
      <c r="J227" s="74"/>
    </row>
    <row r="228" spans="1:10" x14ac:dyDescent="0.5">
      <c r="A228" s="74"/>
      <c r="B228" s="74"/>
      <c r="C228" s="74"/>
      <c r="D228" s="74"/>
      <c r="E228" s="74"/>
      <c r="F228" s="74"/>
      <c r="G228" s="74"/>
      <c r="H228" s="74"/>
      <c r="I228" s="74"/>
      <c r="J228" s="74"/>
    </row>
    <row r="229" spans="1:10" x14ac:dyDescent="0.5">
      <c r="A229" s="74"/>
      <c r="B229" s="74"/>
      <c r="C229" s="74"/>
      <c r="D229" s="74"/>
      <c r="E229" s="74"/>
      <c r="F229" s="74"/>
      <c r="G229" s="74"/>
      <c r="H229" s="74"/>
      <c r="I229" s="74"/>
      <c r="J229" s="74"/>
    </row>
    <row r="230" spans="1:10" x14ac:dyDescent="0.5">
      <c r="A230" s="74"/>
      <c r="B230" s="74"/>
      <c r="C230" s="74"/>
      <c r="D230" s="74"/>
      <c r="E230" s="74"/>
      <c r="F230" s="74"/>
      <c r="G230" s="74"/>
      <c r="H230" s="74"/>
      <c r="I230" s="74"/>
      <c r="J230" s="74"/>
    </row>
    <row r="231" spans="1:10" x14ac:dyDescent="0.5">
      <c r="A231" s="74"/>
      <c r="B231" s="74"/>
      <c r="C231" s="74"/>
      <c r="D231" s="74"/>
      <c r="E231" s="74"/>
      <c r="F231" s="74"/>
      <c r="G231" s="74"/>
      <c r="H231" s="74"/>
      <c r="I231" s="74"/>
      <c r="J231" s="74"/>
    </row>
    <row r="232" spans="1:10" x14ac:dyDescent="0.5">
      <c r="A232" s="74"/>
      <c r="B232" s="74"/>
      <c r="C232" s="74"/>
      <c r="D232" s="74"/>
      <c r="E232" s="74"/>
      <c r="F232" s="74"/>
      <c r="G232" s="74"/>
      <c r="H232" s="74"/>
      <c r="I232" s="74"/>
      <c r="J232" s="74"/>
    </row>
    <row r="233" spans="1:10" x14ac:dyDescent="0.5">
      <c r="A233" s="74"/>
      <c r="B233" s="74"/>
      <c r="C233" s="74"/>
      <c r="D233" s="74"/>
      <c r="E233" s="74"/>
      <c r="F233" s="74"/>
      <c r="G233" s="74"/>
      <c r="H233" s="74"/>
      <c r="I233" s="74"/>
      <c r="J233" s="74"/>
    </row>
    <row r="234" spans="1:10" x14ac:dyDescent="0.5">
      <c r="A234" s="74"/>
      <c r="B234" s="74"/>
      <c r="C234" s="74"/>
      <c r="D234" s="74"/>
      <c r="E234" s="74"/>
      <c r="F234" s="74"/>
      <c r="G234" s="74"/>
      <c r="H234" s="74"/>
      <c r="I234" s="74"/>
      <c r="J234" s="74"/>
    </row>
    <row r="235" spans="1:10" x14ac:dyDescent="0.5">
      <c r="A235" s="74"/>
      <c r="B235" s="74"/>
      <c r="C235" s="74"/>
      <c r="D235" s="74"/>
      <c r="E235" s="74"/>
      <c r="F235" s="74"/>
      <c r="G235" s="74"/>
      <c r="H235" s="74"/>
      <c r="I235" s="74"/>
      <c r="J235" s="74"/>
    </row>
    <row r="236" spans="1:10" x14ac:dyDescent="0.5">
      <c r="A236" s="74"/>
      <c r="B236" s="74"/>
      <c r="C236" s="74"/>
      <c r="D236" s="74"/>
      <c r="E236" s="74"/>
      <c r="F236" s="74"/>
      <c r="G236" s="74"/>
      <c r="H236" s="74"/>
      <c r="I236" s="74"/>
      <c r="J236" s="74"/>
    </row>
    <row r="237" spans="1:10" x14ac:dyDescent="0.5">
      <c r="A237" s="74"/>
      <c r="B237" s="74"/>
      <c r="C237" s="74"/>
      <c r="D237" s="74"/>
      <c r="E237" s="74"/>
      <c r="F237" s="74"/>
      <c r="G237" s="74"/>
      <c r="H237" s="74"/>
      <c r="I237" s="74"/>
      <c r="J237" s="74"/>
    </row>
    <row r="238" spans="1:10" x14ac:dyDescent="0.5">
      <c r="A238" s="74"/>
      <c r="B238" s="74"/>
      <c r="C238" s="74"/>
      <c r="D238" s="74"/>
      <c r="E238" s="74"/>
      <c r="F238" s="74"/>
      <c r="G238" s="74"/>
      <c r="H238" s="74"/>
      <c r="I238" s="74"/>
      <c r="J238" s="74"/>
    </row>
    <row r="239" spans="1:10" x14ac:dyDescent="0.5">
      <c r="A239" s="74"/>
      <c r="B239" s="74"/>
      <c r="C239" s="74"/>
      <c r="D239" s="74"/>
      <c r="E239" s="74"/>
      <c r="F239" s="74"/>
      <c r="G239" s="74"/>
      <c r="H239" s="74"/>
      <c r="I239" s="74"/>
      <c r="J239" s="74"/>
    </row>
    <row r="240" spans="1:10" x14ac:dyDescent="0.5">
      <c r="A240" s="74"/>
      <c r="B240" s="74"/>
      <c r="C240" s="74"/>
      <c r="D240" s="74"/>
      <c r="E240" s="74"/>
      <c r="F240" s="74"/>
      <c r="G240" s="74"/>
      <c r="H240" s="74"/>
      <c r="I240" s="74"/>
      <c r="J240" s="74"/>
    </row>
    <row r="241" spans="1:10" x14ac:dyDescent="0.5">
      <c r="A241" s="74"/>
      <c r="B241" s="74"/>
      <c r="C241" s="74"/>
      <c r="D241" s="74"/>
      <c r="E241" s="74"/>
      <c r="F241" s="74"/>
      <c r="G241" s="74"/>
      <c r="H241" s="74"/>
      <c r="I241" s="74"/>
      <c r="J241" s="74"/>
    </row>
    <row r="242" spans="1:10" x14ac:dyDescent="0.5">
      <c r="A242" s="74"/>
      <c r="B242" s="74"/>
      <c r="C242" s="74"/>
      <c r="D242" s="74"/>
      <c r="E242" s="74"/>
      <c r="F242" s="74"/>
      <c r="G242" s="74"/>
      <c r="H242" s="74"/>
      <c r="I242" s="74"/>
      <c r="J242" s="74"/>
    </row>
    <row r="243" spans="1:10" x14ac:dyDescent="0.5">
      <c r="A243" s="74"/>
      <c r="B243" s="74"/>
      <c r="C243" s="74"/>
      <c r="D243" s="74"/>
      <c r="E243" s="74"/>
      <c r="F243" s="74"/>
      <c r="G243" s="74"/>
      <c r="H243" s="74"/>
      <c r="I243" s="74"/>
      <c r="J243" s="74"/>
    </row>
    <row r="244" spans="1:10" x14ac:dyDescent="0.5">
      <c r="A244" s="74"/>
      <c r="B244" s="74"/>
      <c r="C244" s="74"/>
      <c r="D244" s="74"/>
      <c r="E244" s="74"/>
      <c r="F244" s="74"/>
      <c r="G244" s="74"/>
      <c r="H244" s="74"/>
      <c r="I244" s="74"/>
      <c r="J244" s="74"/>
    </row>
    <row r="245" spans="1:10" x14ac:dyDescent="0.5">
      <c r="A245" s="74"/>
      <c r="B245" s="74"/>
      <c r="C245" s="74"/>
      <c r="D245" s="74"/>
      <c r="E245" s="74"/>
      <c r="F245" s="74"/>
      <c r="G245" s="74"/>
      <c r="H245" s="74"/>
      <c r="I245" s="74"/>
      <c r="J245" s="74"/>
    </row>
    <row r="246" spans="1:10" x14ac:dyDescent="0.5">
      <c r="A246" s="74"/>
      <c r="B246" s="74"/>
      <c r="C246" s="74"/>
      <c r="D246" s="74"/>
      <c r="E246" s="74"/>
      <c r="F246" s="74"/>
      <c r="G246" s="74"/>
      <c r="H246" s="74"/>
      <c r="I246" s="74"/>
      <c r="J246" s="74"/>
    </row>
    <row r="247" spans="1:10" x14ac:dyDescent="0.5">
      <c r="A247" s="74"/>
      <c r="B247" s="74"/>
      <c r="C247" s="74"/>
      <c r="D247" s="74"/>
      <c r="E247" s="74"/>
      <c r="F247" s="74"/>
      <c r="G247" s="74"/>
      <c r="H247" s="74"/>
      <c r="I247" s="74"/>
      <c r="J247" s="74"/>
    </row>
    <row r="248" spans="1:10" x14ac:dyDescent="0.5">
      <c r="A248" s="74"/>
      <c r="B248" s="74"/>
      <c r="C248" s="74"/>
      <c r="D248" s="74"/>
      <c r="E248" s="74"/>
      <c r="F248" s="74"/>
      <c r="G248" s="74"/>
      <c r="H248" s="74"/>
      <c r="I248" s="74"/>
      <c r="J248" s="74"/>
    </row>
    <row r="249" spans="1:10" x14ac:dyDescent="0.5">
      <c r="A249" s="74"/>
      <c r="B249" s="74"/>
      <c r="C249" s="74"/>
      <c r="D249" s="74"/>
      <c r="E249" s="74"/>
      <c r="F249" s="74"/>
      <c r="G249" s="74"/>
      <c r="H249" s="74"/>
      <c r="I249" s="74"/>
      <c r="J249" s="74"/>
    </row>
    <row r="250" spans="1:10" x14ac:dyDescent="0.5">
      <c r="A250" s="74"/>
      <c r="B250" s="74"/>
      <c r="C250" s="74"/>
      <c r="D250" s="74"/>
      <c r="E250" s="74"/>
      <c r="F250" s="74"/>
      <c r="G250" s="74"/>
      <c r="H250" s="74"/>
      <c r="I250" s="74"/>
      <c r="J250" s="74"/>
    </row>
    <row r="251" spans="1:10" x14ac:dyDescent="0.5">
      <c r="A251" s="74"/>
      <c r="B251" s="74"/>
      <c r="C251" s="74"/>
      <c r="D251" s="74"/>
      <c r="E251" s="74"/>
      <c r="F251" s="74"/>
      <c r="G251" s="74"/>
      <c r="H251" s="74"/>
      <c r="I251" s="74"/>
      <c r="J251" s="74"/>
    </row>
    <row r="252" spans="1:10" x14ac:dyDescent="0.5">
      <c r="A252" s="74"/>
      <c r="B252" s="74"/>
      <c r="C252" s="74"/>
      <c r="D252" s="74"/>
      <c r="E252" s="74"/>
      <c r="F252" s="74"/>
      <c r="G252" s="74"/>
      <c r="H252" s="74"/>
      <c r="I252" s="74"/>
      <c r="J252" s="74"/>
    </row>
    <row r="253" spans="1:10" x14ac:dyDescent="0.5">
      <c r="A253" s="74"/>
      <c r="B253" s="74"/>
      <c r="C253" s="74"/>
      <c r="D253" s="74"/>
      <c r="E253" s="74"/>
      <c r="F253" s="74"/>
      <c r="G253" s="74"/>
      <c r="H253" s="74"/>
      <c r="I253" s="74"/>
      <c r="J253" s="74"/>
    </row>
    <row r="254" spans="1:10" x14ac:dyDescent="0.5">
      <c r="A254" s="74"/>
      <c r="B254" s="74"/>
      <c r="C254" s="74"/>
      <c r="D254" s="74"/>
      <c r="E254" s="74"/>
      <c r="F254" s="74"/>
      <c r="G254" s="74"/>
      <c r="H254" s="74"/>
      <c r="I254" s="74"/>
      <c r="J254" s="74"/>
    </row>
    <row r="255" spans="1:10" x14ac:dyDescent="0.5">
      <c r="A255" s="74"/>
      <c r="B255" s="74"/>
      <c r="C255" s="74"/>
      <c r="D255" s="74"/>
      <c r="E255" s="74"/>
      <c r="F255" s="74"/>
      <c r="G255" s="74"/>
      <c r="H255" s="74"/>
      <c r="I255" s="74"/>
      <c r="J255" s="74"/>
    </row>
    <row r="256" spans="1:10" x14ac:dyDescent="0.5">
      <c r="A256" s="74"/>
      <c r="B256" s="74"/>
      <c r="C256" s="74"/>
      <c r="D256" s="74"/>
      <c r="E256" s="74"/>
      <c r="F256" s="74"/>
      <c r="G256" s="74"/>
      <c r="H256" s="74"/>
      <c r="I256" s="74"/>
      <c r="J256" s="74"/>
    </row>
    <row r="257" spans="1:10" x14ac:dyDescent="0.5">
      <c r="A257" s="74"/>
      <c r="B257" s="74"/>
      <c r="C257" s="74"/>
      <c r="D257" s="74"/>
      <c r="E257" s="74"/>
      <c r="F257" s="74"/>
      <c r="G257" s="74"/>
      <c r="H257" s="74"/>
      <c r="I257" s="74"/>
      <c r="J257" s="74"/>
    </row>
    <row r="258" spans="1:10" x14ac:dyDescent="0.5">
      <c r="A258" s="74"/>
      <c r="B258" s="74"/>
      <c r="C258" s="74"/>
      <c r="D258" s="74"/>
      <c r="E258" s="74"/>
      <c r="F258" s="74"/>
      <c r="G258" s="74"/>
      <c r="H258" s="74"/>
      <c r="I258" s="74"/>
      <c r="J258" s="74"/>
    </row>
    <row r="259" spans="1:10" x14ac:dyDescent="0.5">
      <c r="A259" s="74"/>
      <c r="B259" s="74"/>
      <c r="C259" s="74"/>
      <c r="D259" s="74"/>
      <c r="E259" s="74"/>
      <c r="F259" s="74"/>
      <c r="G259" s="74"/>
      <c r="H259" s="74"/>
      <c r="I259" s="74"/>
      <c r="J259" s="74"/>
    </row>
    <row r="260" spans="1:10" x14ac:dyDescent="0.5">
      <c r="A260" s="74"/>
      <c r="B260" s="74"/>
      <c r="C260" s="74"/>
      <c r="D260" s="74"/>
      <c r="E260" s="74"/>
      <c r="F260" s="74"/>
      <c r="G260" s="74"/>
      <c r="H260" s="74"/>
      <c r="I260" s="74"/>
      <c r="J260" s="74"/>
    </row>
    <row r="261" spans="1:10" x14ac:dyDescent="0.5">
      <c r="A261" s="74"/>
      <c r="B261" s="74"/>
      <c r="C261" s="74"/>
      <c r="D261" s="74"/>
      <c r="E261" s="74"/>
      <c r="F261" s="74"/>
      <c r="G261" s="74"/>
      <c r="H261" s="74"/>
      <c r="I261" s="74"/>
      <c r="J261" s="74"/>
    </row>
    <row r="262" spans="1:10" x14ac:dyDescent="0.5">
      <c r="A262" s="74"/>
      <c r="B262" s="74"/>
      <c r="C262" s="74"/>
      <c r="D262" s="74"/>
      <c r="E262" s="74"/>
      <c r="F262" s="74"/>
      <c r="G262" s="74"/>
      <c r="H262" s="74"/>
      <c r="I262" s="74"/>
      <c r="J262" s="74"/>
    </row>
    <row r="263" spans="1:10" x14ac:dyDescent="0.5">
      <c r="A263" s="74"/>
      <c r="B263" s="74"/>
      <c r="C263" s="74"/>
      <c r="D263" s="74"/>
      <c r="E263" s="74"/>
      <c r="F263" s="74"/>
      <c r="G263" s="74"/>
      <c r="H263" s="74"/>
      <c r="I263" s="74"/>
      <c r="J263" s="74"/>
    </row>
    <row r="264" spans="1:10" x14ac:dyDescent="0.5">
      <c r="A264" s="74"/>
      <c r="B264" s="74"/>
      <c r="C264" s="74"/>
      <c r="D264" s="74"/>
      <c r="E264" s="74"/>
      <c r="F264" s="74"/>
      <c r="G264" s="74"/>
      <c r="H264" s="74"/>
      <c r="I264" s="74"/>
      <c r="J264" s="74"/>
    </row>
    <row r="265" spans="1:10" x14ac:dyDescent="0.5">
      <c r="A265" s="74"/>
      <c r="B265" s="74"/>
      <c r="C265" s="74"/>
      <c r="D265" s="74"/>
      <c r="E265" s="74"/>
      <c r="F265" s="74"/>
      <c r="G265" s="74"/>
      <c r="H265" s="74"/>
      <c r="I265" s="74"/>
      <c r="J265" s="74"/>
    </row>
    <row r="266" spans="1:10" x14ac:dyDescent="0.5">
      <c r="A266" s="74"/>
      <c r="B266" s="74"/>
      <c r="C266" s="74"/>
      <c r="D266" s="74"/>
      <c r="E266" s="74"/>
      <c r="F266" s="74"/>
      <c r="G266" s="74"/>
      <c r="H266" s="74"/>
      <c r="I266" s="74"/>
      <c r="J266" s="74"/>
    </row>
    <row r="267" spans="1:10" x14ac:dyDescent="0.5">
      <c r="A267" s="74"/>
      <c r="B267" s="74"/>
      <c r="C267" s="74"/>
      <c r="D267" s="74"/>
      <c r="E267" s="74"/>
      <c r="F267" s="74"/>
      <c r="G267" s="74"/>
      <c r="H267" s="74"/>
      <c r="I267" s="74"/>
      <c r="J267" s="74"/>
    </row>
    <row r="268" spans="1:10" x14ac:dyDescent="0.5">
      <c r="A268" s="74"/>
      <c r="B268" s="74"/>
      <c r="C268" s="74"/>
      <c r="D268" s="74"/>
      <c r="E268" s="74"/>
      <c r="F268" s="74"/>
      <c r="G268" s="74"/>
      <c r="H268" s="74"/>
      <c r="I268" s="74"/>
      <c r="J268" s="74"/>
    </row>
    <row r="269" spans="1:10" x14ac:dyDescent="0.5">
      <c r="A269" s="74"/>
      <c r="B269" s="74"/>
      <c r="C269" s="74"/>
      <c r="D269" s="74"/>
      <c r="E269" s="74"/>
      <c r="F269" s="74"/>
      <c r="G269" s="74"/>
      <c r="H269" s="74"/>
      <c r="I269" s="74"/>
      <c r="J269" s="74"/>
    </row>
    <row r="270" spans="1:10" x14ac:dyDescent="0.5">
      <c r="A270" s="74"/>
      <c r="B270" s="74"/>
      <c r="C270" s="74"/>
      <c r="D270" s="74"/>
      <c r="E270" s="74"/>
      <c r="F270" s="74"/>
      <c r="G270" s="74"/>
      <c r="H270" s="74"/>
      <c r="I270" s="74"/>
      <c r="J270" s="74"/>
    </row>
    <row r="271" spans="1:10" x14ac:dyDescent="0.5">
      <c r="A271" s="74"/>
      <c r="B271" s="74"/>
      <c r="C271" s="74"/>
      <c r="D271" s="74"/>
      <c r="E271" s="74"/>
      <c r="F271" s="74"/>
      <c r="G271" s="74"/>
      <c r="H271" s="74"/>
      <c r="I271" s="74"/>
      <c r="J271" s="74"/>
    </row>
    <row r="272" spans="1:10" x14ac:dyDescent="0.5">
      <c r="A272" s="74"/>
      <c r="B272" s="74"/>
      <c r="C272" s="74"/>
      <c r="D272" s="74"/>
      <c r="E272" s="74"/>
      <c r="F272" s="74"/>
      <c r="G272" s="74"/>
      <c r="H272" s="74"/>
      <c r="I272" s="74"/>
      <c r="J272" s="74"/>
    </row>
    <row r="273" spans="1:10" x14ac:dyDescent="0.5">
      <c r="A273" s="74"/>
      <c r="B273" s="74"/>
      <c r="C273" s="74"/>
      <c r="D273" s="74"/>
      <c r="E273" s="74"/>
      <c r="F273" s="74"/>
      <c r="G273" s="74"/>
      <c r="H273" s="74"/>
      <c r="I273" s="74"/>
      <c r="J273" s="74"/>
    </row>
    <row r="274" spans="1:10" x14ac:dyDescent="0.5">
      <c r="A274" s="74"/>
      <c r="B274" s="74"/>
      <c r="C274" s="74"/>
      <c r="D274" s="74"/>
      <c r="E274" s="74"/>
      <c r="F274" s="74"/>
      <c r="G274" s="74"/>
      <c r="H274" s="74"/>
      <c r="I274" s="74"/>
      <c r="J274" s="74"/>
    </row>
    <row r="275" spans="1:10" x14ac:dyDescent="0.5">
      <c r="A275" s="74"/>
      <c r="B275" s="74"/>
      <c r="C275" s="74"/>
      <c r="D275" s="74"/>
      <c r="E275" s="74"/>
      <c r="F275" s="74"/>
      <c r="G275" s="74"/>
      <c r="H275" s="74"/>
      <c r="I275" s="74"/>
      <c r="J275" s="74"/>
    </row>
    <row r="276" spans="1:10" x14ac:dyDescent="0.5">
      <c r="A276" s="74"/>
      <c r="B276" s="74"/>
      <c r="C276" s="74"/>
      <c r="D276" s="74"/>
      <c r="E276" s="74"/>
      <c r="F276" s="74"/>
      <c r="G276" s="74"/>
      <c r="H276" s="74"/>
      <c r="I276" s="74"/>
      <c r="J276" s="74"/>
    </row>
    <row r="277" spans="1:10" x14ac:dyDescent="0.5">
      <c r="A277" s="74"/>
      <c r="B277" s="74"/>
      <c r="C277" s="74"/>
      <c r="D277" s="74"/>
      <c r="E277" s="74"/>
      <c r="F277" s="74"/>
      <c r="G277" s="74"/>
      <c r="H277" s="74"/>
      <c r="I277" s="74"/>
      <c r="J277" s="74"/>
    </row>
    <row r="278" spans="1:10" x14ac:dyDescent="0.5">
      <c r="A278" s="74"/>
      <c r="B278" s="74"/>
      <c r="C278" s="74"/>
      <c r="D278" s="74"/>
      <c r="E278" s="74"/>
      <c r="F278" s="74"/>
      <c r="G278" s="74"/>
      <c r="H278" s="74"/>
      <c r="I278" s="74"/>
      <c r="J278" s="74"/>
    </row>
    <row r="279" spans="1:10" x14ac:dyDescent="0.5">
      <c r="A279" s="74"/>
      <c r="B279" s="74"/>
      <c r="C279" s="74"/>
      <c r="D279" s="74"/>
      <c r="E279" s="74"/>
      <c r="F279" s="74"/>
      <c r="G279" s="74"/>
      <c r="H279" s="74"/>
      <c r="I279" s="74"/>
      <c r="J279" s="74"/>
    </row>
    <row r="280" spans="1:10" x14ac:dyDescent="0.5">
      <c r="A280" s="74"/>
      <c r="B280" s="74"/>
      <c r="C280" s="74"/>
      <c r="D280" s="74"/>
      <c r="E280" s="74"/>
      <c r="F280" s="74"/>
      <c r="G280" s="74"/>
      <c r="H280" s="74"/>
      <c r="I280" s="74"/>
      <c r="J280" s="74"/>
    </row>
    <row r="281" spans="1:10" x14ac:dyDescent="0.5">
      <c r="A281" s="74"/>
      <c r="B281" s="74"/>
      <c r="C281" s="74"/>
      <c r="D281" s="74"/>
      <c r="E281" s="74"/>
      <c r="F281" s="74"/>
      <c r="G281" s="74"/>
      <c r="H281" s="74"/>
      <c r="I281" s="74"/>
      <c r="J281" s="74"/>
    </row>
    <row r="282" spans="1:10" x14ac:dyDescent="0.5">
      <c r="A282" s="74"/>
      <c r="B282" s="74"/>
      <c r="C282" s="74"/>
      <c r="D282" s="74"/>
      <c r="E282" s="74"/>
      <c r="F282" s="74"/>
      <c r="G282" s="74"/>
      <c r="H282" s="74"/>
      <c r="I282" s="74"/>
      <c r="J282" s="74"/>
    </row>
    <row r="283" spans="1:10" x14ac:dyDescent="0.5">
      <c r="A283" s="74"/>
      <c r="B283" s="74"/>
      <c r="C283" s="74"/>
      <c r="D283" s="74"/>
      <c r="E283" s="74"/>
      <c r="F283" s="74"/>
      <c r="G283" s="74"/>
      <c r="H283" s="74"/>
      <c r="I283" s="74"/>
      <c r="J283" s="74"/>
    </row>
    <row r="284" spans="1:10" x14ac:dyDescent="0.5">
      <c r="A284" s="74"/>
      <c r="B284" s="74"/>
      <c r="C284" s="74"/>
      <c r="D284" s="74"/>
      <c r="E284" s="74"/>
      <c r="F284" s="74"/>
      <c r="G284" s="74"/>
      <c r="H284" s="74"/>
      <c r="I284" s="74"/>
      <c r="J284" s="74"/>
    </row>
    <row r="285" spans="1:10" x14ac:dyDescent="0.5">
      <c r="A285" s="74"/>
      <c r="B285" s="74"/>
      <c r="C285" s="74"/>
      <c r="D285" s="74"/>
      <c r="E285" s="74"/>
      <c r="F285" s="74"/>
      <c r="G285" s="74"/>
      <c r="H285" s="74"/>
      <c r="I285" s="74"/>
      <c r="J285" s="74"/>
    </row>
    <row r="286" spans="1:10" x14ac:dyDescent="0.5">
      <c r="A286" s="74"/>
      <c r="B286" s="74"/>
      <c r="C286" s="74"/>
      <c r="D286" s="74"/>
      <c r="E286" s="74"/>
      <c r="F286" s="74"/>
      <c r="G286" s="74"/>
      <c r="H286" s="74"/>
      <c r="I286" s="74"/>
      <c r="J286" s="74"/>
    </row>
    <row r="287" spans="1:10" x14ac:dyDescent="0.5">
      <c r="A287" s="74"/>
      <c r="B287" s="74"/>
      <c r="C287" s="74"/>
      <c r="D287" s="74"/>
      <c r="E287" s="74"/>
      <c r="F287" s="74"/>
      <c r="G287" s="74"/>
      <c r="H287" s="74"/>
      <c r="I287" s="74"/>
      <c r="J287" s="74"/>
    </row>
    <row r="288" spans="1:10" x14ac:dyDescent="0.5">
      <c r="A288" s="74"/>
      <c r="B288" s="74"/>
      <c r="C288" s="74"/>
      <c r="D288" s="74"/>
      <c r="E288" s="74"/>
      <c r="F288" s="74"/>
      <c r="G288" s="74"/>
      <c r="H288" s="74"/>
      <c r="I288" s="74"/>
      <c r="J288" s="74"/>
    </row>
    <row r="289" spans="1:10" x14ac:dyDescent="0.5">
      <c r="A289" s="74"/>
      <c r="B289" s="74"/>
      <c r="C289" s="74"/>
      <c r="D289" s="74"/>
      <c r="E289" s="74"/>
      <c r="F289" s="74"/>
      <c r="G289" s="74"/>
      <c r="H289" s="74"/>
      <c r="I289" s="74"/>
      <c r="J289" s="74"/>
    </row>
    <row r="290" spans="1:10" x14ac:dyDescent="0.5">
      <c r="A290" s="74"/>
      <c r="B290" s="74"/>
      <c r="C290" s="74"/>
      <c r="D290" s="74"/>
      <c r="E290" s="74"/>
      <c r="F290" s="74"/>
      <c r="G290" s="74"/>
      <c r="H290" s="74"/>
      <c r="I290" s="74"/>
      <c r="J290" s="74"/>
    </row>
    <row r="291" spans="1:10" x14ac:dyDescent="0.5">
      <c r="A291" s="74"/>
      <c r="B291" s="74"/>
      <c r="C291" s="74"/>
      <c r="D291" s="74"/>
      <c r="E291" s="74"/>
      <c r="F291" s="74"/>
      <c r="G291" s="74"/>
      <c r="H291" s="74"/>
      <c r="I291" s="74"/>
      <c r="J291" s="74"/>
    </row>
    <row r="292" spans="1:10" x14ac:dyDescent="0.5">
      <c r="A292" s="74"/>
      <c r="B292" s="74"/>
      <c r="C292" s="74"/>
      <c r="D292" s="74"/>
      <c r="E292" s="74"/>
      <c r="F292" s="74"/>
      <c r="G292" s="74"/>
      <c r="H292" s="74"/>
      <c r="I292" s="74"/>
      <c r="J292" s="74"/>
    </row>
    <row r="293" spans="1:10" x14ac:dyDescent="0.5">
      <c r="A293" s="74"/>
      <c r="B293" s="74"/>
      <c r="C293" s="74"/>
      <c r="D293" s="74"/>
      <c r="E293" s="74"/>
      <c r="F293" s="74"/>
      <c r="G293" s="74"/>
      <c r="H293" s="74"/>
      <c r="I293" s="74"/>
      <c r="J293" s="74"/>
    </row>
    <row r="294" spans="1:10" x14ac:dyDescent="0.5">
      <c r="A294" s="74"/>
      <c r="B294" s="74"/>
      <c r="C294" s="74"/>
      <c r="D294" s="74"/>
      <c r="E294" s="74"/>
      <c r="F294" s="74"/>
      <c r="G294" s="74"/>
      <c r="H294" s="74"/>
      <c r="I294" s="74"/>
      <c r="J294" s="74"/>
    </row>
    <row r="295" spans="1:10" x14ac:dyDescent="0.5">
      <c r="A295" s="74"/>
      <c r="B295" s="74"/>
      <c r="C295" s="74"/>
      <c r="D295" s="74"/>
      <c r="E295" s="74"/>
      <c r="F295" s="74"/>
      <c r="G295" s="74"/>
      <c r="H295" s="74"/>
      <c r="I295" s="74"/>
      <c r="J295" s="74"/>
    </row>
    <row r="296" spans="1:10" x14ac:dyDescent="0.5">
      <c r="A296" s="74"/>
      <c r="B296" s="74"/>
      <c r="C296" s="74"/>
      <c r="D296" s="74"/>
      <c r="E296" s="74"/>
      <c r="F296" s="74"/>
      <c r="G296" s="74"/>
      <c r="H296" s="74"/>
      <c r="I296" s="74"/>
      <c r="J296" s="74"/>
    </row>
    <row r="297" spans="1:10" x14ac:dyDescent="0.5">
      <c r="A297" s="74"/>
      <c r="B297" s="74"/>
      <c r="C297" s="74"/>
      <c r="D297" s="74"/>
      <c r="E297" s="74"/>
      <c r="F297" s="74"/>
      <c r="G297" s="74"/>
      <c r="H297" s="74"/>
      <c r="I297" s="74"/>
      <c r="J297" s="74"/>
    </row>
    <row r="298" spans="1:10" x14ac:dyDescent="0.5">
      <c r="A298" s="74"/>
      <c r="B298" s="74"/>
      <c r="C298" s="74"/>
      <c r="D298" s="74"/>
      <c r="E298" s="74"/>
      <c r="F298" s="74"/>
      <c r="G298" s="74"/>
      <c r="H298" s="74"/>
      <c r="I298" s="74"/>
      <c r="J298" s="74"/>
    </row>
    <row r="299" spans="1:10" x14ac:dyDescent="0.5">
      <c r="A299" s="74"/>
      <c r="B299" s="74"/>
      <c r="C299" s="74"/>
      <c r="D299" s="74"/>
      <c r="E299" s="74"/>
      <c r="F299" s="74"/>
      <c r="G299" s="74"/>
      <c r="H299" s="74"/>
      <c r="I299" s="74"/>
      <c r="J299" s="74"/>
    </row>
    <row r="300" spans="1:10" x14ac:dyDescent="0.5">
      <c r="A300" s="74"/>
      <c r="B300" s="74"/>
      <c r="C300" s="74"/>
      <c r="D300" s="74"/>
      <c r="E300" s="74"/>
      <c r="F300" s="74"/>
      <c r="G300" s="74"/>
      <c r="H300" s="74"/>
      <c r="I300" s="74"/>
      <c r="J300" s="74"/>
    </row>
    <row r="301" spans="1:10" x14ac:dyDescent="0.5">
      <c r="A301" s="74"/>
      <c r="B301" s="74"/>
      <c r="C301" s="74"/>
      <c r="D301" s="74"/>
      <c r="E301" s="74"/>
      <c r="F301" s="74"/>
      <c r="G301" s="74"/>
      <c r="H301" s="74"/>
      <c r="I301" s="74"/>
      <c r="J301" s="74"/>
    </row>
    <row r="302" spans="1:10" x14ac:dyDescent="0.5">
      <c r="A302" s="74"/>
      <c r="B302" s="74"/>
      <c r="C302" s="74"/>
      <c r="D302" s="74"/>
      <c r="E302" s="74"/>
      <c r="F302" s="74"/>
      <c r="G302" s="74"/>
      <c r="H302" s="74"/>
      <c r="I302" s="74"/>
      <c r="J302" s="74"/>
    </row>
    <row r="303" spans="1:10" x14ac:dyDescent="0.5">
      <c r="A303" s="74"/>
      <c r="B303" s="74"/>
      <c r="C303" s="74"/>
      <c r="D303" s="74"/>
      <c r="E303" s="74"/>
      <c r="F303" s="74"/>
      <c r="G303" s="74"/>
      <c r="H303" s="74"/>
      <c r="I303" s="74"/>
      <c r="J303" s="74"/>
    </row>
    <row r="304" spans="1:10" x14ac:dyDescent="0.5">
      <c r="A304" s="74"/>
      <c r="B304" s="74"/>
      <c r="C304" s="74"/>
      <c r="D304" s="74"/>
      <c r="E304" s="74"/>
      <c r="F304" s="74"/>
      <c r="G304" s="74"/>
      <c r="H304" s="74"/>
      <c r="I304" s="74"/>
      <c r="J304" s="74"/>
    </row>
    <row r="305" spans="1:10" x14ac:dyDescent="0.5">
      <c r="A305" s="74"/>
      <c r="B305" s="74"/>
      <c r="C305" s="74"/>
      <c r="D305" s="74"/>
      <c r="E305" s="74"/>
      <c r="F305" s="74"/>
      <c r="G305" s="74"/>
      <c r="H305" s="74"/>
      <c r="I305" s="74"/>
      <c r="J305" s="74"/>
    </row>
    <row r="306" spans="1:10" x14ac:dyDescent="0.5">
      <c r="A306" s="74"/>
      <c r="B306" s="74"/>
      <c r="C306" s="74"/>
      <c r="D306" s="74"/>
      <c r="E306" s="74"/>
      <c r="F306" s="74"/>
      <c r="G306" s="74"/>
      <c r="H306" s="74"/>
      <c r="I306" s="74"/>
      <c r="J306" s="74"/>
    </row>
    <row r="307" spans="1:10" x14ac:dyDescent="0.5">
      <c r="A307" s="74"/>
      <c r="B307" s="74"/>
      <c r="C307" s="74"/>
      <c r="D307" s="74"/>
      <c r="E307" s="74"/>
      <c r="F307" s="74"/>
      <c r="G307" s="74"/>
      <c r="H307" s="74"/>
      <c r="I307" s="74"/>
      <c r="J307" s="74"/>
    </row>
    <row r="308" spans="1:10" x14ac:dyDescent="0.5">
      <c r="A308" s="74"/>
      <c r="B308" s="74"/>
      <c r="C308" s="74"/>
      <c r="D308" s="74"/>
      <c r="E308" s="74"/>
      <c r="F308" s="74"/>
      <c r="G308" s="74"/>
      <c r="H308" s="74"/>
      <c r="I308" s="74"/>
      <c r="J308" s="74"/>
    </row>
    <row r="309" spans="1:10" x14ac:dyDescent="0.5">
      <c r="A309" s="74"/>
      <c r="B309" s="74"/>
      <c r="C309" s="74"/>
      <c r="D309" s="74"/>
      <c r="E309" s="74"/>
      <c r="F309" s="74"/>
      <c r="G309" s="74"/>
      <c r="H309" s="74"/>
      <c r="I309" s="74"/>
      <c r="J309" s="74"/>
    </row>
    <row r="310" spans="1:10" x14ac:dyDescent="0.5">
      <c r="A310" s="74"/>
      <c r="B310" s="74"/>
      <c r="C310" s="74"/>
      <c r="D310" s="74"/>
      <c r="E310" s="74"/>
      <c r="F310" s="74"/>
      <c r="G310" s="74"/>
      <c r="H310" s="74"/>
      <c r="I310" s="74"/>
      <c r="J310" s="74"/>
    </row>
    <row r="311" spans="1:10" x14ac:dyDescent="0.5">
      <c r="A311" s="74"/>
      <c r="B311" s="74"/>
      <c r="C311" s="74"/>
      <c r="D311" s="74"/>
      <c r="E311" s="74"/>
      <c r="F311" s="74"/>
      <c r="G311" s="74"/>
      <c r="H311" s="74"/>
      <c r="I311" s="74"/>
      <c r="J311" s="74"/>
    </row>
    <row r="312" spans="1:10" x14ac:dyDescent="0.5">
      <c r="A312" s="74"/>
      <c r="B312" s="74"/>
      <c r="C312" s="74"/>
      <c r="D312" s="74"/>
      <c r="E312" s="74"/>
      <c r="F312" s="74"/>
      <c r="G312" s="74"/>
      <c r="H312" s="74"/>
      <c r="I312" s="74"/>
      <c r="J312" s="74"/>
    </row>
    <row r="313" spans="1:10" x14ac:dyDescent="0.5">
      <c r="A313" s="74"/>
      <c r="B313" s="74"/>
      <c r="C313" s="74"/>
      <c r="D313" s="74"/>
      <c r="E313" s="74"/>
      <c r="F313" s="74"/>
      <c r="G313" s="74"/>
      <c r="H313" s="74"/>
      <c r="I313" s="74"/>
      <c r="J313" s="74"/>
    </row>
    <row r="314" spans="1:10" x14ac:dyDescent="0.5">
      <c r="A314" s="74"/>
      <c r="B314" s="74"/>
      <c r="C314" s="74"/>
      <c r="D314" s="74"/>
      <c r="E314" s="74"/>
      <c r="F314" s="74"/>
      <c r="G314" s="74"/>
      <c r="H314" s="74"/>
      <c r="I314" s="74"/>
      <c r="J314" s="74"/>
    </row>
    <row r="315" spans="1:10" x14ac:dyDescent="0.5">
      <c r="A315" s="74"/>
      <c r="B315" s="74"/>
      <c r="C315" s="74"/>
      <c r="D315" s="74"/>
      <c r="E315" s="74"/>
      <c r="F315" s="74"/>
      <c r="G315" s="74"/>
      <c r="H315" s="74"/>
      <c r="I315" s="74"/>
      <c r="J315" s="74"/>
    </row>
    <row r="316" spans="1:10" x14ac:dyDescent="0.5">
      <c r="A316" s="74"/>
      <c r="B316" s="74"/>
      <c r="C316" s="74"/>
      <c r="D316" s="74"/>
      <c r="E316" s="74"/>
      <c r="F316" s="74"/>
      <c r="G316" s="74"/>
      <c r="H316" s="74"/>
      <c r="I316" s="74"/>
      <c r="J316" s="74"/>
    </row>
    <row r="317" spans="1:10" x14ac:dyDescent="0.5">
      <c r="A317" s="74"/>
      <c r="B317" s="74"/>
      <c r="C317" s="74"/>
      <c r="D317" s="74"/>
      <c r="E317" s="74"/>
      <c r="F317" s="74"/>
      <c r="G317" s="74"/>
      <c r="H317" s="74"/>
      <c r="I317" s="74"/>
      <c r="J317" s="74"/>
    </row>
    <row r="318" spans="1:10" x14ac:dyDescent="0.5">
      <c r="A318" s="74"/>
      <c r="B318" s="74"/>
      <c r="C318" s="74"/>
      <c r="D318" s="74"/>
      <c r="E318" s="74"/>
      <c r="F318" s="74"/>
      <c r="G318" s="74"/>
      <c r="H318" s="74"/>
      <c r="I318" s="74"/>
      <c r="J318" s="74"/>
    </row>
    <row r="319" spans="1:10" x14ac:dyDescent="0.5">
      <c r="A319" s="74"/>
      <c r="B319" s="74"/>
      <c r="C319" s="74"/>
      <c r="D319" s="74"/>
      <c r="E319" s="74"/>
      <c r="F319" s="74"/>
      <c r="G319" s="74"/>
      <c r="H319" s="74"/>
      <c r="I319" s="74"/>
      <c r="J319" s="74"/>
    </row>
    <row r="320" spans="1:10" x14ac:dyDescent="0.5">
      <c r="A320" s="74"/>
      <c r="B320" s="74"/>
      <c r="C320" s="74"/>
      <c r="D320" s="74"/>
      <c r="E320" s="74"/>
      <c r="F320" s="74"/>
      <c r="G320" s="74"/>
      <c r="H320" s="74"/>
      <c r="I320" s="74"/>
      <c r="J320" s="74"/>
    </row>
    <row r="321" spans="1:10" x14ac:dyDescent="0.5">
      <c r="A321" s="74"/>
      <c r="B321" s="74"/>
      <c r="C321" s="74"/>
      <c r="D321" s="74"/>
      <c r="E321" s="74"/>
      <c r="F321" s="74"/>
      <c r="G321" s="74"/>
      <c r="H321" s="74"/>
      <c r="I321" s="74"/>
      <c r="J321" s="74"/>
    </row>
    <row r="322" spans="1:10" x14ac:dyDescent="0.5">
      <c r="A322" s="74"/>
      <c r="B322" s="74"/>
      <c r="C322" s="74"/>
      <c r="D322" s="74"/>
      <c r="E322" s="74"/>
      <c r="F322" s="74"/>
      <c r="G322" s="74"/>
      <c r="H322" s="74"/>
      <c r="I322" s="74"/>
      <c r="J322" s="74"/>
    </row>
    <row r="323" spans="1:10" x14ac:dyDescent="0.5">
      <c r="A323" s="74"/>
      <c r="B323" s="74"/>
      <c r="C323" s="74"/>
      <c r="D323" s="74"/>
      <c r="E323" s="74"/>
      <c r="F323" s="74"/>
      <c r="G323" s="74"/>
      <c r="H323" s="74"/>
      <c r="I323" s="74"/>
      <c r="J323" s="74"/>
    </row>
    <row r="324" spans="1:10" x14ac:dyDescent="0.5">
      <c r="A324" s="74"/>
      <c r="B324" s="74"/>
      <c r="C324" s="74"/>
      <c r="D324" s="74"/>
      <c r="E324" s="74"/>
      <c r="F324" s="74"/>
      <c r="G324" s="74"/>
      <c r="H324" s="74"/>
      <c r="I324" s="74"/>
      <c r="J324" s="74"/>
    </row>
    <row r="325" spans="1:10" x14ac:dyDescent="0.5">
      <c r="A325" s="74"/>
      <c r="B325" s="74"/>
      <c r="C325" s="74"/>
      <c r="D325" s="74"/>
      <c r="E325" s="74"/>
      <c r="F325" s="74"/>
      <c r="G325" s="74"/>
      <c r="H325" s="74"/>
      <c r="I325" s="74"/>
      <c r="J325" s="74"/>
    </row>
    <row r="326" spans="1:10" x14ac:dyDescent="0.5">
      <c r="A326" s="74"/>
      <c r="B326" s="74"/>
      <c r="C326" s="74"/>
      <c r="D326" s="74"/>
      <c r="E326" s="74"/>
      <c r="F326" s="74"/>
      <c r="G326" s="74"/>
      <c r="H326" s="74"/>
      <c r="I326" s="74"/>
      <c r="J326" s="74"/>
    </row>
    <row r="327" spans="1:10" x14ac:dyDescent="0.5">
      <c r="A327" s="74"/>
      <c r="B327" s="74"/>
      <c r="C327" s="74"/>
      <c r="D327" s="74"/>
      <c r="E327" s="74"/>
      <c r="F327" s="74"/>
      <c r="G327" s="74"/>
      <c r="H327" s="74"/>
      <c r="I327" s="74"/>
      <c r="J327" s="74"/>
    </row>
    <row r="328" spans="1:10" x14ac:dyDescent="0.5">
      <c r="A328" s="74"/>
      <c r="B328" s="74"/>
      <c r="C328" s="74"/>
      <c r="D328" s="74"/>
      <c r="E328" s="74"/>
      <c r="F328" s="74"/>
      <c r="G328" s="74"/>
      <c r="H328" s="74"/>
      <c r="I328" s="74"/>
      <c r="J328" s="74"/>
    </row>
    <row r="329" spans="1:10" x14ac:dyDescent="0.5">
      <c r="A329" s="74"/>
      <c r="B329" s="74"/>
      <c r="C329" s="74"/>
      <c r="D329" s="74"/>
      <c r="E329" s="74"/>
      <c r="F329" s="74"/>
      <c r="G329" s="74"/>
      <c r="H329" s="74"/>
      <c r="I329" s="74"/>
      <c r="J329" s="74"/>
    </row>
    <row r="330" spans="1:10" x14ac:dyDescent="0.5">
      <c r="A330" s="74"/>
      <c r="B330" s="74"/>
      <c r="C330" s="74"/>
      <c r="D330" s="74"/>
      <c r="E330" s="74"/>
      <c r="F330" s="74"/>
      <c r="G330" s="74"/>
      <c r="H330" s="74"/>
      <c r="I330" s="74"/>
      <c r="J330" s="74"/>
    </row>
    <row r="331" spans="1:10" x14ac:dyDescent="0.5">
      <c r="A331" s="74"/>
      <c r="B331" s="74"/>
      <c r="C331" s="74"/>
      <c r="D331" s="74"/>
      <c r="E331" s="74"/>
      <c r="F331" s="74"/>
      <c r="G331" s="74"/>
      <c r="H331" s="74"/>
      <c r="I331" s="74"/>
      <c r="J331" s="74"/>
    </row>
    <row r="332" spans="1:10" x14ac:dyDescent="0.5">
      <c r="A332" s="74"/>
      <c r="B332" s="74"/>
      <c r="C332" s="74"/>
      <c r="D332" s="74"/>
      <c r="E332" s="74"/>
      <c r="F332" s="74"/>
      <c r="G332" s="74"/>
      <c r="H332" s="74"/>
      <c r="I332" s="74"/>
      <c r="J332" s="74"/>
    </row>
    <row r="333" spans="1:10" x14ac:dyDescent="0.5">
      <c r="A333" s="74"/>
      <c r="B333" s="74"/>
      <c r="C333" s="74"/>
      <c r="D333" s="74"/>
      <c r="E333" s="74"/>
      <c r="F333" s="74"/>
      <c r="G333" s="74"/>
      <c r="H333" s="74"/>
      <c r="I333" s="74"/>
      <c r="J333" s="74"/>
    </row>
    <row r="334" spans="1:10" x14ac:dyDescent="0.5">
      <c r="A334" s="74"/>
      <c r="B334" s="74"/>
      <c r="C334" s="74"/>
      <c r="D334" s="74"/>
      <c r="E334" s="74"/>
      <c r="F334" s="74"/>
      <c r="G334" s="74"/>
      <c r="H334" s="74"/>
      <c r="I334" s="74"/>
      <c r="J334" s="74"/>
    </row>
    <row r="335" spans="1:10" x14ac:dyDescent="0.5">
      <c r="A335" s="74"/>
      <c r="B335" s="74"/>
      <c r="C335" s="74"/>
      <c r="D335" s="74"/>
      <c r="E335" s="74"/>
      <c r="F335" s="74"/>
      <c r="G335" s="74"/>
      <c r="H335" s="74"/>
      <c r="I335" s="74"/>
      <c r="J335" s="74"/>
    </row>
    <row r="336" spans="1:10" x14ac:dyDescent="0.5">
      <c r="A336" s="74"/>
      <c r="B336" s="74"/>
      <c r="C336" s="74"/>
      <c r="D336" s="74"/>
      <c r="E336" s="74"/>
      <c r="F336" s="74"/>
      <c r="G336" s="74"/>
      <c r="H336" s="74"/>
      <c r="I336" s="74"/>
      <c r="J336" s="74"/>
    </row>
    <row r="337" spans="1:10" x14ac:dyDescent="0.5">
      <c r="A337" s="74"/>
      <c r="B337" s="74"/>
      <c r="C337" s="74"/>
      <c r="D337" s="74"/>
      <c r="E337" s="74"/>
      <c r="F337" s="74"/>
      <c r="G337" s="74"/>
      <c r="H337" s="74"/>
      <c r="I337" s="74"/>
      <c r="J337" s="74"/>
    </row>
    <row r="338" spans="1:10" x14ac:dyDescent="0.5">
      <c r="A338" s="74"/>
      <c r="B338" s="74"/>
      <c r="C338" s="74"/>
      <c r="D338" s="74"/>
      <c r="E338" s="74"/>
      <c r="F338" s="74"/>
      <c r="G338" s="74"/>
      <c r="H338" s="74"/>
      <c r="I338" s="74"/>
      <c r="J338" s="74"/>
    </row>
    <row r="339" spans="1:10" x14ac:dyDescent="0.5">
      <c r="A339" s="74"/>
      <c r="B339" s="74"/>
      <c r="C339" s="74"/>
      <c r="D339" s="74"/>
      <c r="E339" s="74"/>
      <c r="F339" s="74"/>
      <c r="G339" s="74"/>
      <c r="H339" s="74"/>
      <c r="I339" s="74"/>
      <c r="J339" s="74"/>
    </row>
    <row r="340" spans="1:10" x14ac:dyDescent="0.5">
      <c r="A340" s="74"/>
      <c r="B340" s="74"/>
      <c r="C340" s="74"/>
      <c r="D340" s="74"/>
      <c r="E340" s="74"/>
      <c r="F340" s="74"/>
      <c r="G340" s="74"/>
      <c r="H340" s="74"/>
      <c r="I340" s="74"/>
      <c r="J340" s="74"/>
    </row>
    <row r="341" spans="1:10" x14ac:dyDescent="0.5">
      <c r="A341" s="74"/>
      <c r="B341" s="74"/>
      <c r="C341" s="74"/>
      <c r="D341" s="74"/>
      <c r="E341" s="74"/>
      <c r="F341" s="74"/>
      <c r="G341" s="74"/>
      <c r="H341" s="74"/>
      <c r="I341" s="74"/>
      <c r="J341" s="74"/>
    </row>
    <row r="342" spans="1:10" x14ac:dyDescent="0.5">
      <c r="A342" s="74"/>
      <c r="B342" s="74"/>
      <c r="C342" s="74"/>
      <c r="D342" s="74"/>
      <c r="E342" s="74"/>
      <c r="F342" s="74"/>
      <c r="G342" s="74"/>
      <c r="H342" s="74"/>
      <c r="I342" s="74"/>
      <c r="J342" s="74"/>
    </row>
    <row r="343" spans="1:10" x14ac:dyDescent="0.5">
      <c r="A343" s="74"/>
      <c r="B343" s="74"/>
      <c r="C343" s="74"/>
      <c r="D343" s="74"/>
      <c r="E343" s="74"/>
      <c r="F343" s="74"/>
      <c r="G343" s="74"/>
      <c r="H343" s="74"/>
      <c r="I343" s="74"/>
      <c r="J343" s="74"/>
    </row>
    <row r="344" spans="1:10" x14ac:dyDescent="0.5">
      <c r="A344" s="74"/>
      <c r="B344" s="74"/>
      <c r="C344" s="74"/>
      <c r="D344" s="74"/>
      <c r="E344" s="74"/>
      <c r="F344" s="74"/>
      <c r="G344" s="74"/>
      <c r="H344" s="74"/>
      <c r="I344" s="74"/>
      <c r="J344" s="74"/>
    </row>
    <row r="345" spans="1:10" x14ac:dyDescent="0.5">
      <c r="A345" s="74"/>
      <c r="B345" s="74"/>
      <c r="C345" s="74"/>
      <c r="D345" s="74"/>
      <c r="E345" s="74"/>
      <c r="F345" s="74"/>
      <c r="G345" s="74"/>
      <c r="H345" s="74"/>
      <c r="I345" s="74"/>
      <c r="J345" s="74"/>
    </row>
    <row r="346" spans="1:10" x14ac:dyDescent="0.5">
      <c r="A346" s="74"/>
      <c r="B346" s="74"/>
      <c r="C346" s="74"/>
      <c r="D346" s="74"/>
      <c r="E346" s="74"/>
      <c r="F346" s="74"/>
      <c r="G346" s="74"/>
      <c r="H346" s="74"/>
      <c r="I346" s="74"/>
      <c r="J346" s="74"/>
    </row>
    <row r="347" spans="1:10" x14ac:dyDescent="0.5">
      <c r="A347" s="74"/>
      <c r="B347" s="74"/>
      <c r="C347" s="74"/>
      <c r="D347" s="74"/>
      <c r="E347" s="74"/>
      <c r="F347" s="74"/>
      <c r="G347" s="74"/>
      <c r="H347" s="74"/>
      <c r="I347" s="74"/>
      <c r="J347" s="74"/>
    </row>
    <row r="348" spans="1:10" x14ac:dyDescent="0.5">
      <c r="A348" s="74"/>
      <c r="B348" s="74"/>
      <c r="C348" s="74"/>
      <c r="D348" s="74"/>
      <c r="E348" s="74"/>
      <c r="F348" s="74"/>
      <c r="G348" s="74"/>
      <c r="H348" s="74"/>
      <c r="I348" s="74"/>
      <c r="J348" s="74"/>
    </row>
    <row r="349" spans="1:10" x14ac:dyDescent="0.5">
      <c r="A349" s="74"/>
      <c r="B349" s="74"/>
      <c r="C349" s="74"/>
      <c r="D349" s="74"/>
      <c r="E349" s="74"/>
      <c r="F349" s="74"/>
      <c r="G349" s="74"/>
      <c r="H349" s="74"/>
      <c r="I349" s="74"/>
      <c r="J349" s="74"/>
    </row>
    <row r="350" spans="1:10" x14ac:dyDescent="0.5">
      <c r="A350" s="74"/>
      <c r="B350" s="74"/>
      <c r="C350" s="74"/>
      <c r="D350" s="74"/>
      <c r="E350" s="74"/>
      <c r="F350" s="74"/>
      <c r="G350" s="74"/>
      <c r="H350" s="74"/>
      <c r="I350" s="74"/>
      <c r="J350" s="74"/>
    </row>
    <row r="351" spans="1:10" x14ac:dyDescent="0.5">
      <c r="A351" s="74"/>
      <c r="B351" s="74"/>
      <c r="C351" s="74"/>
      <c r="D351" s="74"/>
      <c r="E351" s="74"/>
      <c r="F351" s="74"/>
      <c r="G351" s="74"/>
      <c r="H351" s="74"/>
      <c r="I351" s="74"/>
      <c r="J351" s="74"/>
    </row>
    <row r="352" spans="1:10" x14ac:dyDescent="0.5">
      <c r="A352" s="74"/>
      <c r="B352" s="74"/>
      <c r="C352" s="74"/>
      <c r="D352" s="74"/>
      <c r="E352" s="74"/>
      <c r="F352" s="74"/>
      <c r="G352" s="74"/>
      <c r="H352" s="74"/>
      <c r="I352" s="74"/>
      <c r="J352" s="74"/>
    </row>
    <row r="353" spans="1:10" x14ac:dyDescent="0.5">
      <c r="A353" s="74"/>
      <c r="B353" s="74"/>
      <c r="C353" s="74"/>
      <c r="D353" s="74"/>
      <c r="E353" s="74"/>
      <c r="F353" s="74"/>
      <c r="G353" s="74"/>
      <c r="H353" s="74"/>
      <c r="I353" s="74"/>
      <c r="J353" s="74"/>
    </row>
    <row r="354" spans="1:10" x14ac:dyDescent="0.5">
      <c r="A354" s="74"/>
      <c r="B354" s="74"/>
      <c r="C354" s="74"/>
      <c r="D354" s="74"/>
      <c r="E354" s="74"/>
      <c r="F354" s="74"/>
      <c r="G354" s="74"/>
      <c r="H354" s="74"/>
      <c r="I354" s="74"/>
      <c r="J354" s="74"/>
    </row>
    <row r="355" spans="1:10" x14ac:dyDescent="0.5">
      <c r="A355" s="74"/>
      <c r="B355" s="74"/>
      <c r="C355" s="74"/>
      <c r="D355" s="74"/>
      <c r="E355" s="74"/>
      <c r="F355" s="74"/>
      <c r="G355" s="74"/>
      <c r="H355" s="74"/>
      <c r="I355" s="74"/>
      <c r="J355" s="74"/>
    </row>
    <row r="356" spans="1:10" x14ac:dyDescent="0.5">
      <c r="A356" s="74"/>
      <c r="B356" s="74"/>
      <c r="C356" s="74"/>
      <c r="D356" s="74"/>
      <c r="E356" s="74"/>
      <c r="F356" s="74"/>
      <c r="G356" s="74"/>
      <c r="H356" s="74"/>
      <c r="I356" s="74"/>
      <c r="J356" s="74"/>
    </row>
    <row r="357" spans="1:10" x14ac:dyDescent="0.5">
      <c r="A357" s="74"/>
      <c r="B357" s="74"/>
      <c r="C357" s="74"/>
      <c r="D357" s="74"/>
      <c r="E357" s="74"/>
      <c r="F357" s="74"/>
      <c r="G357" s="74"/>
      <c r="H357" s="74"/>
      <c r="I357" s="74"/>
      <c r="J357" s="74"/>
    </row>
    <row r="358" spans="1:10" x14ac:dyDescent="0.5">
      <c r="A358" s="74"/>
      <c r="B358" s="74"/>
      <c r="C358" s="74"/>
      <c r="D358" s="74"/>
      <c r="E358" s="74"/>
      <c r="F358" s="74"/>
      <c r="G358" s="74"/>
      <c r="H358" s="74"/>
      <c r="I358" s="74"/>
      <c r="J358" s="74"/>
    </row>
    <row r="359" spans="1:10" x14ac:dyDescent="0.5">
      <c r="A359" s="74"/>
      <c r="B359" s="74"/>
      <c r="C359" s="74"/>
      <c r="D359" s="74"/>
      <c r="E359" s="74"/>
      <c r="F359" s="74"/>
      <c r="G359" s="74"/>
      <c r="H359" s="74"/>
      <c r="I359" s="74"/>
      <c r="J359" s="74"/>
    </row>
    <row r="360" spans="1:10" x14ac:dyDescent="0.5">
      <c r="A360" s="74"/>
      <c r="B360" s="74"/>
      <c r="C360" s="74"/>
      <c r="D360" s="74"/>
      <c r="E360" s="74"/>
      <c r="F360" s="74"/>
      <c r="G360" s="74"/>
      <c r="H360" s="74"/>
      <c r="I360" s="74"/>
      <c r="J360" s="74"/>
    </row>
    <row r="361" spans="1:10" x14ac:dyDescent="0.5">
      <c r="A361" s="74"/>
      <c r="B361" s="74"/>
      <c r="C361" s="74"/>
      <c r="D361" s="74"/>
      <c r="E361" s="74"/>
      <c r="F361" s="74"/>
      <c r="G361" s="74"/>
      <c r="H361" s="74"/>
      <c r="I361" s="74"/>
      <c r="J361" s="74"/>
    </row>
    <row r="362" spans="1:10" x14ac:dyDescent="0.5">
      <c r="A362" s="74"/>
      <c r="B362" s="74"/>
      <c r="C362" s="74"/>
      <c r="D362" s="74"/>
      <c r="E362" s="74"/>
      <c r="F362" s="74"/>
      <c r="G362" s="74"/>
      <c r="H362" s="74"/>
      <c r="I362" s="74"/>
      <c r="J362" s="74"/>
    </row>
    <row r="363" spans="1:10" x14ac:dyDescent="0.5">
      <c r="A363" s="74"/>
      <c r="B363" s="74"/>
      <c r="C363" s="74"/>
      <c r="D363" s="74"/>
      <c r="E363" s="74"/>
      <c r="F363" s="74"/>
      <c r="G363" s="74"/>
      <c r="H363" s="74"/>
      <c r="I363" s="74"/>
      <c r="J363" s="74"/>
    </row>
    <row r="364" spans="1:10" x14ac:dyDescent="0.5">
      <c r="A364" s="74"/>
      <c r="B364" s="74"/>
      <c r="C364" s="74"/>
      <c r="D364" s="74"/>
      <c r="E364" s="74"/>
      <c r="F364" s="74"/>
      <c r="G364" s="74"/>
      <c r="H364" s="74"/>
      <c r="I364" s="74"/>
      <c r="J364" s="74"/>
    </row>
    <row r="365" spans="1:10" x14ac:dyDescent="0.5">
      <c r="A365" s="74"/>
      <c r="B365" s="74"/>
      <c r="C365" s="74"/>
      <c r="D365" s="74"/>
      <c r="E365" s="74"/>
      <c r="F365" s="74"/>
      <c r="G365" s="74"/>
      <c r="H365" s="74"/>
      <c r="I365" s="74"/>
      <c r="J365" s="74"/>
    </row>
    <row r="366" spans="1:10" x14ac:dyDescent="0.5">
      <c r="A366" s="74"/>
      <c r="B366" s="74"/>
      <c r="C366" s="74"/>
      <c r="D366" s="74"/>
      <c r="E366" s="74"/>
      <c r="F366" s="74"/>
      <c r="G366" s="74"/>
      <c r="H366" s="74"/>
      <c r="I366" s="74"/>
      <c r="J366" s="74"/>
    </row>
    <row r="367" spans="1:10" x14ac:dyDescent="0.5">
      <c r="A367" s="74"/>
      <c r="B367" s="74"/>
      <c r="C367" s="74"/>
      <c r="D367" s="74"/>
      <c r="E367" s="74"/>
      <c r="F367" s="74"/>
      <c r="G367" s="74"/>
      <c r="H367" s="74"/>
      <c r="I367" s="74"/>
      <c r="J367" s="74"/>
    </row>
    <row r="368" spans="1:10" x14ac:dyDescent="0.5">
      <c r="A368" s="74"/>
      <c r="B368" s="74"/>
      <c r="C368" s="74"/>
      <c r="D368" s="74"/>
      <c r="E368" s="74"/>
      <c r="F368" s="74"/>
      <c r="G368" s="74"/>
      <c r="H368" s="74"/>
      <c r="I368" s="74"/>
      <c r="J368" s="74"/>
    </row>
    <row r="369" spans="1:10" x14ac:dyDescent="0.5">
      <c r="A369" s="74"/>
      <c r="B369" s="74"/>
      <c r="C369" s="74"/>
      <c r="D369" s="74"/>
      <c r="E369" s="74"/>
      <c r="F369" s="74"/>
      <c r="G369" s="74"/>
      <c r="H369" s="74"/>
      <c r="I369" s="74"/>
      <c r="J369" s="74"/>
    </row>
    <row r="370" spans="1:10" x14ac:dyDescent="0.5">
      <c r="A370" s="74"/>
      <c r="B370" s="74"/>
      <c r="C370" s="74"/>
      <c r="D370" s="74"/>
      <c r="E370" s="74"/>
      <c r="F370" s="74"/>
      <c r="G370" s="74"/>
      <c r="H370" s="74"/>
      <c r="I370" s="74"/>
      <c r="J370" s="74"/>
    </row>
    <row r="371" spans="1:10" x14ac:dyDescent="0.5">
      <c r="A371" s="74"/>
      <c r="B371" s="74"/>
      <c r="C371" s="74"/>
      <c r="D371" s="74"/>
      <c r="E371" s="74"/>
      <c r="F371" s="74"/>
      <c r="G371" s="74"/>
      <c r="H371" s="74"/>
      <c r="I371" s="74"/>
      <c r="J371" s="74"/>
    </row>
    <row r="372" spans="1:10" x14ac:dyDescent="0.5">
      <c r="A372" s="74"/>
      <c r="B372" s="74"/>
      <c r="C372" s="74"/>
      <c r="D372" s="74"/>
      <c r="E372" s="74"/>
      <c r="F372" s="74"/>
      <c r="G372" s="74"/>
      <c r="H372" s="74"/>
      <c r="I372" s="74"/>
      <c r="J372" s="74"/>
    </row>
    <row r="373" spans="1:10" x14ac:dyDescent="0.5">
      <c r="A373" s="74"/>
      <c r="B373" s="74"/>
      <c r="C373" s="74"/>
      <c r="D373" s="74"/>
      <c r="E373" s="74"/>
      <c r="F373" s="74"/>
      <c r="G373" s="74"/>
      <c r="H373" s="74"/>
      <c r="I373" s="74"/>
      <c r="J373" s="74"/>
    </row>
    <row r="374" spans="1:10" x14ac:dyDescent="0.5">
      <c r="A374" s="74"/>
      <c r="B374" s="74"/>
      <c r="C374" s="74"/>
      <c r="D374" s="74"/>
      <c r="E374" s="74"/>
      <c r="F374" s="74"/>
      <c r="G374" s="74"/>
      <c r="H374" s="74"/>
      <c r="I374" s="74"/>
      <c r="J374" s="74"/>
    </row>
    <row r="375" spans="1:10" x14ac:dyDescent="0.5">
      <c r="A375" s="74"/>
      <c r="B375" s="74"/>
      <c r="C375" s="74"/>
      <c r="D375" s="74"/>
      <c r="E375" s="74"/>
      <c r="F375" s="74"/>
      <c r="G375" s="74"/>
      <c r="H375" s="74"/>
      <c r="I375" s="74"/>
      <c r="J375" s="74"/>
    </row>
    <row r="376" spans="1:10" x14ac:dyDescent="0.5">
      <c r="A376" s="74"/>
      <c r="B376" s="74"/>
      <c r="C376" s="74"/>
      <c r="D376" s="74"/>
      <c r="E376" s="74"/>
      <c r="F376" s="74"/>
      <c r="G376" s="74"/>
      <c r="H376" s="74"/>
      <c r="I376" s="74"/>
      <c r="J376" s="74"/>
    </row>
    <row r="377" spans="1:10" x14ac:dyDescent="0.5">
      <c r="A377" s="74"/>
      <c r="B377" s="74"/>
      <c r="C377" s="74"/>
      <c r="D377" s="74"/>
      <c r="E377" s="74"/>
      <c r="F377" s="74"/>
      <c r="G377" s="74"/>
      <c r="H377" s="74"/>
      <c r="I377" s="74"/>
      <c r="J377" s="74"/>
    </row>
    <row r="378" spans="1:10" x14ac:dyDescent="0.5">
      <c r="A378" s="74"/>
      <c r="B378" s="74"/>
      <c r="C378" s="74"/>
      <c r="D378" s="74"/>
      <c r="E378" s="74"/>
      <c r="F378" s="74"/>
      <c r="G378" s="74"/>
      <c r="H378" s="74"/>
      <c r="I378" s="74"/>
      <c r="J378" s="74"/>
    </row>
    <row r="379" spans="1:10" x14ac:dyDescent="0.5">
      <c r="A379" s="74"/>
      <c r="B379" s="74"/>
      <c r="C379" s="74"/>
      <c r="D379" s="74"/>
      <c r="E379" s="74"/>
      <c r="F379" s="74"/>
      <c r="G379" s="74"/>
      <c r="H379" s="74"/>
      <c r="I379" s="74"/>
      <c r="J379" s="74"/>
    </row>
    <row r="380" spans="1:10" x14ac:dyDescent="0.5">
      <c r="A380" s="74"/>
      <c r="B380" s="74"/>
      <c r="C380" s="74"/>
      <c r="D380" s="74"/>
      <c r="E380" s="74"/>
      <c r="F380" s="74"/>
      <c r="G380" s="74"/>
      <c r="H380" s="74"/>
      <c r="I380" s="74"/>
      <c r="J380" s="74"/>
    </row>
    <row r="381" spans="1:10" x14ac:dyDescent="0.5">
      <c r="A381" s="74"/>
      <c r="B381" s="74"/>
      <c r="C381" s="74"/>
      <c r="D381" s="74"/>
      <c r="E381" s="74"/>
      <c r="F381" s="74"/>
      <c r="G381" s="74"/>
      <c r="H381" s="74"/>
      <c r="I381" s="74"/>
      <c r="J381" s="74"/>
    </row>
    <row r="382" spans="1:10" x14ac:dyDescent="0.5">
      <c r="A382" s="74"/>
      <c r="B382" s="74"/>
      <c r="C382" s="74"/>
      <c r="D382" s="74"/>
      <c r="E382" s="74"/>
      <c r="F382" s="74"/>
      <c r="G382" s="74"/>
      <c r="H382" s="74"/>
      <c r="I382" s="74"/>
      <c r="J382" s="74"/>
    </row>
    <row r="383" spans="1:10" x14ac:dyDescent="0.5">
      <c r="A383" s="74"/>
      <c r="B383" s="74"/>
      <c r="C383" s="74"/>
      <c r="D383" s="74"/>
      <c r="E383" s="74"/>
      <c r="F383" s="74"/>
      <c r="G383" s="74"/>
      <c r="H383" s="74"/>
      <c r="I383" s="74"/>
      <c r="J383" s="74"/>
    </row>
    <row r="384" spans="1:10" x14ac:dyDescent="0.5">
      <c r="A384" s="74"/>
      <c r="B384" s="74"/>
      <c r="C384" s="74"/>
      <c r="D384" s="74"/>
      <c r="E384" s="74"/>
      <c r="F384" s="74"/>
      <c r="G384" s="74"/>
      <c r="H384" s="74"/>
      <c r="I384" s="74"/>
      <c r="J384" s="74"/>
    </row>
    <row r="385" spans="1:10" x14ac:dyDescent="0.5">
      <c r="A385" s="74"/>
      <c r="B385" s="74"/>
      <c r="C385" s="74"/>
      <c r="D385" s="74"/>
      <c r="E385" s="74"/>
      <c r="F385" s="74"/>
      <c r="G385" s="74"/>
      <c r="H385" s="74"/>
      <c r="I385" s="74"/>
      <c r="J385" s="74"/>
    </row>
    <row r="386" spans="1:10" x14ac:dyDescent="0.5">
      <c r="A386" s="74"/>
      <c r="B386" s="74"/>
      <c r="C386" s="74"/>
      <c r="D386" s="74"/>
      <c r="E386" s="74"/>
      <c r="F386" s="74"/>
      <c r="G386" s="74"/>
      <c r="H386" s="74"/>
      <c r="I386" s="74"/>
      <c r="J386" s="74"/>
    </row>
    <row r="387" spans="1:10" x14ac:dyDescent="0.5">
      <c r="A387" s="74"/>
      <c r="B387" s="74"/>
      <c r="C387" s="74"/>
      <c r="D387" s="74"/>
      <c r="E387" s="74"/>
      <c r="F387" s="74"/>
      <c r="G387" s="74"/>
      <c r="H387" s="74"/>
      <c r="I387" s="74"/>
      <c r="J387" s="74"/>
    </row>
    <row r="388" spans="1:10" x14ac:dyDescent="0.5">
      <c r="A388" s="74"/>
      <c r="B388" s="74"/>
      <c r="C388" s="74"/>
      <c r="D388" s="74"/>
      <c r="E388" s="74"/>
      <c r="F388" s="74"/>
      <c r="G388" s="74"/>
      <c r="H388" s="74"/>
      <c r="I388" s="74"/>
      <c r="J388" s="74"/>
    </row>
    <row r="389" spans="1:10" x14ac:dyDescent="0.5">
      <c r="A389" s="74"/>
      <c r="B389" s="74"/>
      <c r="C389" s="74"/>
      <c r="D389" s="74"/>
      <c r="E389" s="74"/>
      <c r="F389" s="74"/>
      <c r="G389" s="74"/>
      <c r="H389" s="74"/>
      <c r="I389" s="74"/>
      <c r="J389" s="74"/>
    </row>
    <row r="390" spans="1:10" x14ac:dyDescent="0.5">
      <c r="A390" s="74"/>
      <c r="B390" s="74"/>
      <c r="C390" s="74"/>
      <c r="D390" s="74"/>
      <c r="E390" s="74"/>
      <c r="F390" s="74"/>
      <c r="G390" s="74"/>
      <c r="H390" s="74"/>
      <c r="I390" s="74"/>
      <c r="J390" s="74"/>
    </row>
    <row r="391" spans="1:10" x14ac:dyDescent="0.5">
      <c r="A391" s="74"/>
      <c r="B391" s="74"/>
      <c r="C391" s="74"/>
      <c r="D391" s="74"/>
      <c r="E391" s="74"/>
      <c r="F391" s="74"/>
      <c r="G391" s="74"/>
      <c r="H391" s="74"/>
      <c r="I391" s="74"/>
      <c r="J391" s="74"/>
    </row>
    <row r="392" spans="1:10" x14ac:dyDescent="0.5">
      <c r="A392" s="74"/>
      <c r="B392" s="74"/>
      <c r="C392" s="74"/>
      <c r="D392" s="74"/>
      <c r="E392" s="74"/>
      <c r="F392" s="74"/>
      <c r="G392" s="74"/>
      <c r="H392" s="74"/>
      <c r="I392" s="74"/>
      <c r="J392" s="74"/>
    </row>
    <row r="393" spans="1:10" x14ac:dyDescent="0.5">
      <c r="A393" s="74"/>
      <c r="B393" s="74"/>
      <c r="C393" s="74"/>
      <c r="D393" s="74"/>
      <c r="E393" s="74"/>
      <c r="F393" s="74"/>
      <c r="G393" s="74"/>
      <c r="H393" s="74"/>
      <c r="I393" s="74"/>
      <c r="J393" s="74"/>
    </row>
    <row r="394" spans="1:10" x14ac:dyDescent="0.5">
      <c r="A394" s="74"/>
      <c r="B394" s="74"/>
      <c r="C394" s="74"/>
      <c r="D394" s="74"/>
      <c r="E394" s="74"/>
      <c r="F394" s="74"/>
      <c r="G394" s="74"/>
      <c r="H394" s="74"/>
      <c r="I394" s="74"/>
      <c r="J394" s="74"/>
    </row>
    <row r="395" spans="1:10" x14ac:dyDescent="0.5">
      <c r="A395" s="74"/>
      <c r="B395" s="74"/>
      <c r="C395" s="74"/>
      <c r="D395" s="74"/>
      <c r="E395" s="74"/>
      <c r="F395" s="74"/>
      <c r="G395" s="74"/>
      <c r="H395" s="74"/>
      <c r="I395" s="74"/>
      <c r="J395" s="74"/>
    </row>
    <row r="396" spans="1:10" x14ac:dyDescent="0.5">
      <c r="A396" s="74"/>
      <c r="B396" s="74"/>
      <c r="C396" s="74"/>
      <c r="D396" s="74"/>
      <c r="E396" s="74"/>
      <c r="F396" s="74"/>
      <c r="G396" s="74"/>
      <c r="H396" s="74"/>
      <c r="I396" s="74"/>
      <c r="J396" s="74"/>
    </row>
    <row r="397" spans="1:10" x14ac:dyDescent="0.5">
      <c r="A397" s="74"/>
      <c r="B397" s="74"/>
      <c r="C397" s="74"/>
      <c r="D397" s="74"/>
      <c r="E397" s="74"/>
      <c r="F397" s="74"/>
      <c r="G397" s="74"/>
      <c r="H397" s="74"/>
      <c r="I397" s="74"/>
      <c r="J397" s="74"/>
    </row>
    <row r="398" spans="1:10" x14ac:dyDescent="0.5">
      <c r="A398" s="74"/>
      <c r="B398" s="74"/>
      <c r="C398" s="74"/>
      <c r="D398" s="74"/>
      <c r="E398" s="74"/>
      <c r="F398" s="74"/>
      <c r="G398" s="74"/>
      <c r="H398" s="74"/>
      <c r="I398" s="74"/>
      <c r="J398" s="74"/>
    </row>
    <row r="399" spans="1:10" x14ac:dyDescent="0.5">
      <c r="A399" s="74"/>
      <c r="B399" s="74"/>
      <c r="C399" s="74"/>
      <c r="D399" s="74"/>
      <c r="E399" s="74"/>
      <c r="F399" s="74"/>
      <c r="G399" s="74"/>
      <c r="H399" s="74"/>
      <c r="I399" s="74"/>
      <c r="J399" s="74"/>
    </row>
    <row r="400" spans="1:10" x14ac:dyDescent="0.5">
      <c r="A400" s="74"/>
      <c r="B400" s="74"/>
      <c r="C400" s="74"/>
      <c r="D400" s="74"/>
      <c r="E400" s="74"/>
      <c r="F400" s="74"/>
      <c r="G400" s="74"/>
      <c r="H400" s="74"/>
      <c r="I400" s="74"/>
      <c r="J400" s="74"/>
    </row>
    <row r="401" spans="1:10" x14ac:dyDescent="0.5">
      <c r="A401" s="74"/>
      <c r="B401" s="74"/>
      <c r="C401" s="74"/>
      <c r="D401" s="74"/>
      <c r="E401" s="74"/>
      <c r="F401" s="74"/>
      <c r="G401" s="74"/>
      <c r="H401" s="74"/>
      <c r="I401" s="74"/>
      <c r="J401" s="74"/>
    </row>
    <row r="402" spans="1:10" x14ac:dyDescent="0.5">
      <c r="A402" s="74"/>
      <c r="B402" s="74"/>
      <c r="C402" s="74"/>
      <c r="D402" s="74"/>
      <c r="E402" s="74"/>
      <c r="F402" s="74"/>
      <c r="G402" s="74"/>
      <c r="H402" s="74"/>
      <c r="I402" s="74"/>
      <c r="J402" s="74"/>
    </row>
    <row r="403" spans="1:10" x14ac:dyDescent="0.5">
      <c r="A403" s="74"/>
      <c r="B403" s="74"/>
      <c r="C403" s="74"/>
      <c r="D403" s="74"/>
      <c r="E403" s="74"/>
      <c r="F403" s="74"/>
      <c r="G403" s="74"/>
      <c r="H403" s="74"/>
      <c r="I403" s="74"/>
      <c r="J403" s="74"/>
    </row>
    <row r="404" spans="1:10" x14ac:dyDescent="0.5">
      <c r="A404" s="74"/>
      <c r="B404" s="74"/>
      <c r="C404" s="74"/>
      <c r="D404" s="74"/>
      <c r="E404" s="74"/>
      <c r="F404" s="74"/>
      <c r="G404" s="74"/>
      <c r="H404" s="74"/>
      <c r="I404" s="74"/>
      <c r="J404" s="74"/>
    </row>
    <row r="405" spans="1:10" x14ac:dyDescent="0.5">
      <c r="A405" s="74"/>
      <c r="B405" s="74"/>
      <c r="C405" s="74"/>
      <c r="D405" s="74"/>
      <c r="E405" s="74"/>
      <c r="F405" s="74"/>
      <c r="G405" s="74"/>
      <c r="H405" s="74"/>
      <c r="I405" s="74"/>
      <c r="J405" s="74"/>
    </row>
    <row r="406" spans="1:10" x14ac:dyDescent="0.5">
      <c r="A406" s="74"/>
      <c r="B406" s="74"/>
      <c r="C406" s="74"/>
      <c r="D406" s="74"/>
      <c r="E406" s="74"/>
      <c r="F406" s="74"/>
      <c r="G406" s="74"/>
      <c r="H406" s="74"/>
      <c r="I406" s="74"/>
      <c r="J406" s="74"/>
    </row>
    <row r="407" spans="1:10" x14ac:dyDescent="0.5">
      <c r="A407" s="74"/>
      <c r="B407" s="74"/>
      <c r="C407" s="74"/>
      <c r="D407" s="74"/>
      <c r="E407" s="74"/>
      <c r="F407" s="74"/>
      <c r="G407" s="74"/>
      <c r="H407" s="74"/>
      <c r="I407" s="74"/>
      <c r="J407" s="74"/>
    </row>
    <row r="408" spans="1:10" x14ac:dyDescent="0.5">
      <c r="A408" s="74"/>
      <c r="B408" s="74"/>
      <c r="C408" s="74"/>
      <c r="D408" s="74"/>
      <c r="E408" s="74"/>
      <c r="F408" s="74"/>
      <c r="G408" s="74"/>
      <c r="H408" s="74"/>
      <c r="I408" s="74"/>
      <c r="J408" s="74"/>
    </row>
    <row r="409" spans="1:10" x14ac:dyDescent="0.5">
      <c r="A409" s="74"/>
      <c r="B409" s="74"/>
      <c r="C409" s="74"/>
      <c r="D409" s="74"/>
      <c r="E409" s="74"/>
      <c r="F409" s="74"/>
      <c r="G409" s="74"/>
      <c r="H409" s="74"/>
      <c r="I409" s="74"/>
      <c r="J409" s="74"/>
    </row>
    <row r="410" spans="1:10" x14ac:dyDescent="0.5">
      <c r="A410" s="74"/>
      <c r="B410" s="74"/>
      <c r="C410" s="74"/>
      <c r="D410" s="74"/>
      <c r="E410" s="74"/>
      <c r="F410" s="74"/>
      <c r="G410" s="74"/>
      <c r="H410" s="74"/>
      <c r="I410" s="74"/>
      <c r="J410" s="74"/>
    </row>
    <row r="411" spans="1:10" x14ac:dyDescent="0.5">
      <c r="A411" s="74"/>
      <c r="B411" s="74"/>
      <c r="C411" s="74"/>
      <c r="D411" s="74"/>
      <c r="E411" s="74"/>
      <c r="F411" s="74"/>
      <c r="G411" s="74"/>
      <c r="H411" s="74"/>
      <c r="I411" s="74"/>
      <c r="J411" s="74"/>
    </row>
    <row r="412" spans="1:10" x14ac:dyDescent="0.5">
      <c r="A412" s="74"/>
      <c r="B412" s="74"/>
      <c r="C412" s="74"/>
      <c r="D412" s="74"/>
      <c r="E412" s="74"/>
      <c r="F412" s="74"/>
      <c r="G412" s="74"/>
      <c r="H412" s="74"/>
      <c r="I412" s="74"/>
      <c r="J412" s="74"/>
    </row>
    <row r="413" spans="1:10" x14ac:dyDescent="0.5">
      <c r="A413" s="74"/>
      <c r="B413" s="74"/>
      <c r="C413" s="74"/>
      <c r="D413" s="74"/>
      <c r="E413" s="74"/>
      <c r="F413" s="74"/>
      <c r="G413" s="74"/>
      <c r="H413" s="74"/>
      <c r="I413" s="74"/>
      <c r="J413" s="74"/>
    </row>
    <row r="414" spans="1:10" x14ac:dyDescent="0.5">
      <c r="A414" s="74"/>
      <c r="B414" s="74"/>
      <c r="C414" s="74"/>
      <c r="D414" s="74"/>
      <c r="E414" s="74"/>
      <c r="F414" s="74"/>
      <c r="G414" s="74"/>
      <c r="H414" s="74"/>
      <c r="I414" s="74"/>
      <c r="J414" s="74"/>
    </row>
    <row r="415" spans="1:10" x14ac:dyDescent="0.5">
      <c r="A415" s="74"/>
      <c r="B415" s="74"/>
      <c r="C415" s="74"/>
      <c r="D415" s="74"/>
      <c r="E415" s="74"/>
      <c r="F415" s="74"/>
      <c r="G415" s="74"/>
      <c r="H415" s="74"/>
      <c r="I415" s="74"/>
      <c r="J415" s="74"/>
    </row>
    <row r="416" spans="1:10" x14ac:dyDescent="0.5">
      <c r="A416" s="74"/>
      <c r="B416" s="74"/>
      <c r="C416" s="74"/>
      <c r="D416" s="74"/>
      <c r="E416" s="74"/>
      <c r="F416" s="74"/>
      <c r="G416" s="74"/>
      <c r="H416" s="74"/>
      <c r="I416" s="74"/>
      <c r="J416" s="74"/>
    </row>
    <row r="417" spans="1:10" x14ac:dyDescent="0.5">
      <c r="A417" s="74"/>
      <c r="B417" s="74"/>
      <c r="C417" s="74"/>
      <c r="D417" s="74"/>
      <c r="E417" s="74"/>
      <c r="F417" s="74"/>
      <c r="G417" s="74"/>
      <c r="H417" s="74"/>
      <c r="I417" s="74"/>
      <c r="J417" s="74"/>
    </row>
    <row r="418" spans="1:10" x14ac:dyDescent="0.5">
      <c r="A418" s="74"/>
      <c r="B418" s="74"/>
      <c r="C418" s="74"/>
      <c r="D418" s="74"/>
      <c r="E418" s="74"/>
      <c r="F418" s="74"/>
      <c r="G418" s="74"/>
      <c r="H418" s="74"/>
      <c r="I418" s="74"/>
      <c r="J418" s="74"/>
    </row>
    <row r="419" spans="1:10" x14ac:dyDescent="0.5">
      <c r="A419" s="74"/>
      <c r="B419" s="74"/>
      <c r="C419" s="74"/>
      <c r="D419" s="74"/>
      <c r="E419" s="74"/>
      <c r="F419" s="74"/>
      <c r="G419" s="74"/>
      <c r="H419" s="74"/>
      <c r="I419" s="74"/>
      <c r="J419" s="74"/>
    </row>
    <row r="420" spans="1:10" x14ac:dyDescent="0.5">
      <c r="A420" s="74"/>
      <c r="B420" s="74"/>
      <c r="C420" s="74"/>
      <c r="D420" s="74"/>
      <c r="E420" s="74"/>
      <c r="F420" s="74"/>
      <c r="G420" s="74"/>
      <c r="H420" s="74"/>
      <c r="I420" s="74"/>
      <c r="J420" s="74"/>
    </row>
    <row r="421" spans="1:10" x14ac:dyDescent="0.5">
      <c r="A421" s="74"/>
      <c r="B421" s="74"/>
      <c r="C421" s="74"/>
      <c r="D421" s="74"/>
      <c r="E421" s="74"/>
      <c r="F421" s="74"/>
      <c r="G421" s="74"/>
      <c r="H421" s="74"/>
      <c r="I421" s="74"/>
      <c r="J421" s="74"/>
    </row>
    <row r="422" spans="1:10" x14ac:dyDescent="0.5">
      <c r="A422" s="74"/>
      <c r="B422" s="74"/>
      <c r="C422" s="74"/>
      <c r="D422" s="74"/>
      <c r="E422" s="74"/>
      <c r="F422" s="74"/>
      <c r="G422" s="74"/>
      <c r="H422" s="74"/>
      <c r="I422" s="74"/>
      <c r="J422" s="74"/>
    </row>
    <row r="423" spans="1:10" x14ac:dyDescent="0.5">
      <c r="A423" s="74"/>
      <c r="B423" s="74"/>
      <c r="C423" s="74"/>
      <c r="D423" s="74"/>
      <c r="E423" s="74"/>
      <c r="F423" s="74"/>
      <c r="G423" s="74"/>
      <c r="H423" s="74"/>
      <c r="I423" s="74"/>
      <c r="J423" s="74"/>
    </row>
    <row r="424" spans="1:10" x14ac:dyDescent="0.5">
      <c r="A424" s="74"/>
      <c r="B424" s="74"/>
      <c r="C424" s="74"/>
      <c r="D424" s="74"/>
      <c r="E424" s="74"/>
      <c r="F424" s="74"/>
      <c r="G424" s="74"/>
      <c r="H424" s="74"/>
      <c r="I424" s="74"/>
      <c r="J424" s="74"/>
    </row>
    <row r="425" spans="1:10" x14ac:dyDescent="0.5">
      <c r="A425" s="74"/>
      <c r="B425" s="74"/>
      <c r="C425" s="74"/>
      <c r="D425" s="74"/>
      <c r="E425" s="74"/>
      <c r="F425" s="74"/>
      <c r="G425" s="74"/>
      <c r="H425" s="74"/>
      <c r="I425" s="74"/>
      <c r="J425" s="74"/>
    </row>
    <row r="426" spans="1:10" x14ac:dyDescent="0.5">
      <c r="A426" s="74"/>
      <c r="B426" s="74"/>
      <c r="C426" s="74"/>
      <c r="D426" s="74"/>
      <c r="E426" s="74"/>
      <c r="F426" s="74"/>
      <c r="G426" s="74"/>
      <c r="H426" s="74"/>
      <c r="I426" s="74"/>
      <c r="J426" s="74"/>
    </row>
  </sheetData>
  <phoneticPr fontId="3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XFC53"/>
  <sheetViews>
    <sheetView workbookViewId="0">
      <selection activeCell="F34" sqref="F34:F36"/>
    </sheetView>
  </sheetViews>
  <sheetFormatPr defaultColWidth="0" defaultRowHeight="14.1" zeroHeight="1" x14ac:dyDescent="0.5"/>
  <cols>
    <col min="1" max="1" width="3.046875" style="14" bestFit="1" customWidth="1"/>
    <col min="2" max="2" width="9.19921875" style="14" bestFit="1" customWidth="1"/>
    <col min="3" max="3" width="40.5" style="13" bestFit="1" customWidth="1"/>
    <col min="4" max="4" width="44.19921875" style="14" customWidth="1"/>
    <col min="5" max="5" width="7.046875" style="14" bestFit="1" customWidth="1"/>
    <col min="6" max="6" width="7.046875" style="14" customWidth="1"/>
    <col min="7" max="7" width="11.69921875" style="14" customWidth="1"/>
    <col min="8" max="8" width="11.1484375" style="14" customWidth="1"/>
    <col min="9" max="9" width="9.796875" style="14" customWidth="1"/>
    <col min="10" max="10" width="8" style="14" customWidth="1"/>
    <col min="11" max="11" width="0.6484375" style="14" customWidth="1"/>
    <col min="12" max="16383" width="13" style="14" hidden="1" customWidth="1"/>
    <col min="16384" max="16384" width="6.44921875" style="14" hidden="1" customWidth="1"/>
  </cols>
  <sheetData>
    <row r="1" spans="1:10" ht="21" customHeight="1" x14ac:dyDescent="0.5">
      <c r="A1" s="6" t="s">
        <v>1297</v>
      </c>
      <c r="B1" s="7"/>
      <c r="C1" s="11"/>
      <c r="D1" s="6" t="s">
        <v>1298</v>
      </c>
      <c r="E1" s="6" t="s">
        <v>1299</v>
      </c>
      <c r="F1" s="6" t="s">
        <v>1300</v>
      </c>
      <c r="G1" s="6" t="s">
        <v>1301</v>
      </c>
      <c r="H1" s="7" t="s">
        <v>12</v>
      </c>
      <c r="I1" s="6" t="s">
        <v>1302</v>
      </c>
      <c r="J1" s="6" t="s">
        <v>1303</v>
      </c>
    </row>
    <row r="2" spans="1:10" x14ac:dyDescent="0.5">
      <c r="A2" s="170">
        <v>1</v>
      </c>
      <c r="B2" s="8" t="s">
        <v>26</v>
      </c>
      <c r="C2" s="12"/>
      <c r="D2" s="8" t="s">
        <v>26</v>
      </c>
      <c r="E2" s="192" t="s">
        <v>1240</v>
      </c>
      <c r="F2" s="193">
        <v>16</v>
      </c>
      <c r="G2" s="170" t="e">
        <v>#N/A</v>
      </c>
      <c r="H2" s="101"/>
      <c r="I2" s="193">
        <v>8</v>
      </c>
      <c r="J2" s="191">
        <v>0</v>
      </c>
    </row>
    <row r="3" spans="1:10" x14ac:dyDescent="0.5">
      <c r="A3" s="170">
        <v>2</v>
      </c>
      <c r="B3" s="8" t="s">
        <v>33</v>
      </c>
      <c r="C3" s="12" t="s">
        <v>1304</v>
      </c>
      <c r="D3" s="8" t="s">
        <v>1305</v>
      </c>
      <c r="E3" s="186"/>
      <c r="F3" s="186"/>
      <c r="G3" s="170">
        <v>4</v>
      </c>
      <c r="H3" s="101" t="s">
        <v>22</v>
      </c>
      <c r="I3" s="186"/>
      <c r="J3" s="186"/>
    </row>
    <row r="4" spans="1:10" x14ac:dyDescent="0.5">
      <c r="A4" s="170">
        <v>3</v>
      </c>
      <c r="B4" s="8" t="s">
        <v>38</v>
      </c>
      <c r="C4" s="12" t="s">
        <v>1306</v>
      </c>
      <c r="D4" s="8" t="s">
        <v>1307</v>
      </c>
      <c r="E4" s="184"/>
      <c r="F4" s="184"/>
      <c r="G4" s="170">
        <v>4</v>
      </c>
      <c r="H4" s="101" t="s">
        <v>22</v>
      </c>
      <c r="I4" s="184"/>
      <c r="J4" s="184"/>
    </row>
    <row r="5" spans="1:10" x14ac:dyDescent="0.5">
      <c r="A5" s="170">
        <v>4</v>
      </c>
      <c r="B5" s="8" t="s">
        <v>105</v>
      </c>
      <c r="C5" s="12" t="s">
        <v>1308</v>
      </c>
      <c r="D5" s="8" t="s">
        <v>1309</v>
      </c>
      <c r="E5" s="192" t="s">
        <v>1242</v>
      </c>
      <c r="F5" s="193">
        <v>4</v>
      </c>
      <c r="G5" s="170">
        <v>3</v>
      </c>
      <c r="H5" s="101" t="s">
        <v>22</v>
      </c>
      <c r="I5" s="193">
        <v>4</v>
      </c>
      <c r="J5" s="191">
        <v>0</v>
      </c>
    </row>
    <row r="6" spans="1:10" x14ac:dyDescent="0.5">
      <c r="A6" s="170">
        <v>5</v>
      </c>
      <c r="B6" s="8" t="s">
        <v>233</v>
      </c>
      <c r="C6" s="12" t="s">
        <v>1310</v>
      </c>
      <c r="D6" s="8" t="s">
        <v>1311</v>
      </c>
      <c r="E6" s="186"/>
      <c r="F6" s="186"/>
      <c r="G6" s="170">
        <v>1</v>
      </c>
      <c r="H6" s="101" t="s">
        <v>22</v>
      </c>
      <c r="I6" s="186"/>
      <c r="J6" s="186"/>
    </row>
    <row r="7" spans="1:10" x14ac:dyDescent="0.5">
      <c r="A7" s="170">
        <v>6</v>
      </c>
      <c r="B7" s="8" t="s">
        <v>117</v>
      </c>
      <c r="C7" s="12" t="s">
        <v>1312</v>
      </c>
      <c r="D7" s="8" t="s">
        <v>1313</v>
      </c>
      <c r="E7" s="184"/>
      <c r="F7" s="184"/>
      <c r="G7" s="170">
        <v>4</v>
      </c>
      <c r="H7" s="101" t="s">
        <v>22</v>
      </c>
      <c r="I7" s="184"/>
      <c r="J7" s="184"/>
    </row>
    <row r="8" spans="1:10" x14ac:dyDescent="0.5">
      <c r="A8" s="170">
        <v>7</v>
      </c>
      <c r="B8" s="8" t="s">
        <v>131</v>
      </c>
      <c r="C8" s="12" t="s">
        <v>1314</v>
      </c>
      <c r="D8" s="8" t="s">
        <v>1315</v>
      </c>
      <c r="E8" s="192" t="s">
        <v>1244</v>
      </c>
      <c r="F8" s="193">
        <v>9</v>
      </c>
      <c r="G8" s="170">
        <v>4</v>
      </c>
      <c r="H8" s="101" t="s">
        <v>22</v>
      </c>
      <c r="I8" s="193">
        <v>6</v>
      </c>
      <c r="J8" s="191">
        <v>0</v>
      </c>
    </row>
    <row r="9" spans="1:10" x14ac:dyDescent="0.5">
      <c r="A9" s="170">
        <v>8</v>
      </c>
      <c r="B9" s="8" t="s">
        <v>66</v>
      </c>
      <c r="C9" s="12" t="s">
        <v>1316</v>
      </c>
      <c r="D9" s="8" t="s">
        <v>1317</v>
      </c>
      <c r="E9" s="186"/>
      <c r="F9" s="186"/>
      <c r="G9" s="170">
        <v>9</v>
      </c>
      <c r="H9" s="101" t="s">
        <v>22</v>
      </c>
      <c r="I9" s="186"/>
      <c r="J9" s="186"/>
    </row>
    <row r="10" spans="1:10" x14ac:dyDescent="0.5">
      <c r="A10" s="170">
        <v>9</v>
      </c>
      <c r="B10" s="8" t="s">
        <v>44</v>
      </c>
      <c r="C10" s="12" t="s">
        <v>1318</v>
      </c>
      <c r="D10" s="8" t="s">
        <v>1319</v>
      </c>
      <c r="E10" s="184"/>
      <c r="F10" s="184"/>
      <c r="G10" s="170">
        <v>4</v>
      </c>
      <c r="H10" s="101" t="s">
        <v>22</v>
      </c>
      <c r="I10" s="184"/>
      <c r="J10" s="184"/>
    </row>
    <row r="11" spans="1:10" x14ac:dyDescent="0.5">
      <c r="A11" s="170">
        <v>10</v>
      </c>
      <c r="B11" s="8" t="s">
        <v>170</v>
      </c>
      <c r="C11" s="12" t="s">
        <v>1320</v>
      </c>
      <c r="D11" s="8" t="s">
        <v>1321</v>
      </c>
      <c r="E11" s="169" t="s">
        <v>1246</v>
      </c>
      <c r="F11" s="170">
        <v>5</v>
      </c>
      <c r="G11" s="170">
        <v>5</v>
      </c>
      <c r="H11" s="101" t="s">
        <v>22</v>
      </c>
      <c r="I11" s="170">
        <v>2</v>
      </c>
      <c r="J11" s="171">
        <v>0</v>
      </c>
    </row>
    <row r="12" spans="1:10" x14ac:dyDescent="0.5">
      <c r="A12" s="170">
        <v>11</v>
      </c>
      <c r="B12" s="8" t="s">
        <v>122</v>
      </c>
      <c r="C12" s="12" t="s">
        <v>1322</v>
      </c>
      <c r="D12" s="8" t="s">
        <v>1323</v>
      </c>
      <c r="E12" s="169" t="s">
        <v>1248</v>
      </c>
      <c r="F12" s="170">
        <v>6</v>
      </c>
      <c r="G12" s="170">
        <v>6</v>
      </c>
      <c r="H12" s="101" t="s">
        <v>22</v>
      </c>
      <c r="I12" s="170">
        <v>6</v>
      </c>
      <c r="J12" s="171">
        <v>0</v>
      </c>
    </row>
    <row r="13" spans="1:10" x14ac:dyDescent="0.5">
      <c r="A13" s="170">
        <v>12</v>
      </c>
      <c r="B13" s="8" t="s">
        <v>71</v>
      </c>
      <c r="C13" s="12" t="s">
        <v>1324</v>
      </c>
      <c r="D13" s="8" t="s">
        <v>1325</v>
      </c>
      <c r="E13" s="169" t="s">
        <v>1249</v>
      </c>
      <c r="F13" s="170">
        <v>3</v>
      </c>
      <c r="G13" s="170">
        <v>3</v>
      </c>
      <c r="H13" s="101" t="s">
        <v>22</v>
      </c>
      <c r="I13" s="170">
        <v>4</v>
      </c>
      <c r="J13" s="171">
        <v>0</v>
      </c>
    </row>
    <row r="14" spans="1:10" x14ac:dyDescent="0.5">
      <c r="A14" s="170">
        <v>13</v>
      </c>
      <c r="B14" s="8" t="s">
        <v>88</v>
      </c>
      <c r="C14" s="12" t="s">
        <v>1326</v>
      </c>
      <c r="D14" s="8" t="s">
        <v>1327</v>
      </c>
      <c r="E14" s="192" t="s">
        <v>1251</v>
      </c>
      <c r="F14" s="193">
        <v>4</v>
      </c>
      <c r="G14" s="170">
        <v>4</v>
      </c>
      <c r="H14" s="101" t="s">
        <v>22</v>
      </c>
      <c r="I14" s="193">
        <v>6</v>
      </c>
      <c r="J14" s="191">
        <v>0</v>
      </c>
    </row>
    <row r="15" spans="1:10" x14ac:dyDescent="0.5">
      <c r="A15" s="170">
        <v>14</v>
      </c>
      <c r="B15" s="8" t="s">
        <v>50</v>
      </c>
      <c r="C15" s="12" t="s">
        <v>1328</v>
      </c>
      <c r="D15" s="8" t="s">
        <v>1329</v>
      </c>
      <c r="E15" s="186"/>
      <c r="F15" s="186"/>
      <c r="G15" s="170">
        <v>4</v>
      </c>
      <c r="H15" s="101" t="s">
        <v>22</v>
      </c>
      <c r="I15" s="186"/>
      <c r="J15" s="186"/>
    </row>
    <row r="16" spans="1:10" x14ac:dyDescent="0.5">
      <c r="A16" s="170">
        <v>15</v>
      </c>
      <c r="B16" s="8" t="s">
        <v>82</v>
      </c>
      <c r="C16" s="12" t="s">
        <v>1330</v>
      </c>
      <c r="D16" s="8" t="s">
        <v>1331</v>
      </c>
      <c r="E16" s="184"/>
      <c r="F16" s="184"/>
      <c r="G16" s="170">
        <v>4</v>
      </c>
      <c r="H16" s="101" t="s">
        <v>22</v>
      </c>
      <c r="I16" s="184"/>
      <c r="J16" s="184"/>
    </row>
    <row r="17" spans="1:10" x14ac:dyDescent="0.5">
      <c r="A17" s="170">
        <v>16</v>
      </c>
      <c r="B17" s="8" t="s">
        <v>150</v>
      </c>
      <c r="C17" s="12" t="s">
        <v>1332</v>
      </c>
      <c r="D17" s="8" t="s">
        <v>1333</v>
      </c>
      <c r="E17" s="192" t="s">
        <v>1334</v>
      </c>
      <c r="F17" s="193">
        <v>8</v>
      </c>
      <c r="G17" s="170">
        <v>5</v>
      </c>
      <c r="H17" s="101" t="s">
        <v>22</v>
      </c>
      <c r="I17" s="193">
        <v>6</v>
      </c>
      <c r="J17" s="191">
        <v>0</v>
      </c>
    </row>
    <row r="18" spans="1:10" x14ac:dyDescent="0.5">
      <c r="A18" s="170">
        <v>17</v>
      </c>
      <c r="B18" s="8" t="s">
        <v>158</v>
      </c>
      <c r="C18" s="12" t="s">
        <v>1335</v>
      </c>
      <c r="D18" s="8" t="s">
        <v>1336</v>
      </c>
      <c r="E18" s="186"/>
      <c r="F18" s="186"/>
      <c r="G18" s="170">
        <v>3</v>
      </c>
      <c r="H18" s="101" t="s">
        <v>22</v>
      </c>
      <c r="I18" s="186"/>
      <c r="J18" s="186"/>
    </row>
    <row r="19" spans="1:10" x14ac:dyDescent="0.5">
      <c r="A19" s="170">
        <v>18</v>
      </c>
      <c r="B19" s="8" t="s">
        <v>60</v>
      </c>
      <c r="C19" s="12" t="s">
        <v>1337</v>
      </c>
      <c r="D19" s="8" t="s">
        <v>1338</v>
      </c>
      <c r="E19" s="184"/>
      <c r="F19" s="184"/>
      <c r="G19" s="170">
        <v>8</v>
      </c>
      <c r="H19" s="101" t="s">
        <v>22</v>
      </c>
      <c r="I19" s="184"/>
      <c r="J19" s="184"/>
    </row>
    <row r="20" spans="1:10" x14ac:dyDescent="0.5">
      <c r="A20" s="170">
        <v>19</v>
      </c>
      <c r="B20" s="8" t="s">
        <v>76</v>
      </c>
      <c r="C20" s="12" t="s">
        <v>1339</v>
      </c>
      <c r="D20" s="8" t="s">
        <v>1340</v>
      </c>
      <c r="E20" s="192" t="s">
        <v>1341</v>
      </c>
      <c r="F20" s="193">
        <v>4</v>
      </c>
      <c r="G20" s="170">
        <v>2</v>
      </c>
      <c r="H20" s="101" t="s">
        <v>22</v>
      </c>
      <c r="I20" s="193">
        <v>6</v>
      </c>
      <c r="J20" s="191">
        <v>0</v>
      </c>
    </row>
    <row r="21" spans="1:10" x14ac:dyDescent="0.5">
      <c r="A21" s="170">
        <v>20</v>
      </c>
      <c r="B21" s="8" t="s">
        <v>154</v>
      </c>
      <c r="C21" s="12" t="s">
        <v>1342</v>
      </c>
      <c r="D21" s="8" t="s">
        <v>1343</v>
      </c>
      <c r="E21" s="186"/>
      <c r="F21" s="186"/>
      <c r="G21" s="170">
        <v>2</v>
      </c>
      <c r="H21" s="101" t="s">
        <v>22</v>
      </c>
      <c r="I21" s="186"/>
      <c r="J21" s="186"/>
    </row>
    <row r="22" spans="1:10" x14ac:dyDescent="0.5">
      <c r="A22" s="170">
        <v>21</v>
      </c>
      <c r="B22" s="8" t="s">
        <v>111</v>
      </c>
      <c r="C22" s="12" t="s">
        <v>1344</v>
      </c>
      <c r="D22" s="8" t="s">
        <v>1345</v>
      </c>
      <c r="E22" s="184"/>
      <c r="F22" s="184"/>
      <c r="G22" s="170">
        <v>4</v>
      </c>
      <c r="H22" s="101" t="s">
        <v>22</v>
      </c>
      <c r="I22" s="184"/>
      <c r="J22" s="184"/>
    </row>
    <row r="23" spans="1:10" x14ac:dyDescent="0.5">
      <c r="A23" s="170">
        <v>22</v>
      </c>
      <c r="B23" s="8" t="s">
        <v>55</v>
      </c>
      <c r="C23" s="12" t="s">
        <v>1346</v>
      </c>
      <c r="D23" s="8" t="s">
        <v>1347</v>
      </c>
      <c r="E23" s="192" t="s">
        <v>1348</v>
      </c>
      <c r="F23" s="193">
        <v>4</v>
      </c>
      <c r="G23" s="170">
        <v>4</v>
      </c>
      <c r="H23" s="101" t="s">
        <v>22</v>
      </c>
      <c r="I23" s="193">
        <v>7</v>
      </c>
      <c r="J23" s="191">
        <v>0</v>
      </c>
    </row>
    <row r="24" spans="1:10" x14ac:dyDescent="0.5">
      <c r="A24" s="170">
        <v>23</v>
      </c>
      <c r="B24" s="8" t="s">
        <v>100</v>
      </c>
      <c r="C24" s="12" t="s">
        <v>1349</v>
      </c>
      <c r="D24" s="8" t="s">
        <v>1350</v>
      </c>
      <c r="E24" s="184"/>
      <c r="F24" s="184"/>
      <c r="G24" s="170">
        <v>4</v>
      </c>
      <c r="H24" s="101" t="s">
        <v>22</v>
      </c>
      <c r="I24" s="184"/>
      <c r="J24" s="184"/>
    </row>
    <row r="25" spans="1:10" x14ac:dyDescent="0.5">
      <c r="A25" s="170">
        <v>24</v>
      </c>
      <c r="B25" s="8" t="s">
        <v>127</v>
      </c>
      <c r="C25" s="12" t="s">
        <v>1351</v>
      </c>
      <c r="D25" s="8" t="s">
        <v>1352</v>
      </c>
      <c r="E25" s="169" t="s">
        <v>1353</v>
      </c>
      <c r="F25" s="170">
        <v>4</v>
      </c>
      <c r="G25" s="170">
        <v>4</v>
      </c>
      <c r="H25" s="101" t="s">
        <v>22</v>
      </c>
      <c r="I25" s="170">
        <v>2</v>
      </c>
      <c r="J25" s="171">
        <v>0</v>
      </c>
    </row>
    <row r="26" spans="1:10" x14ac:dyDescent="0.5">
      <c r="A26" s="170">
        <v>25</v>
      </c>
      <c r="B26" s="8" t="s">
        <v>197</v>
      </c>
      <c r="C26" s="12" t="s">
        <v>1354</v>
      </c>
      <c r="D26" s="8" t="s">
        <v>1355</v>
      </c>
      <c r="E26" s="192" t="s">
        <v>1356</v>
      </c>
      <c r="F26" s="193">
        <v>4</v>
      </c>
      <c r="G26" s="170">
        <v>2</v>
      </c>
      <c r="H26" s="101" t="s">
        <v>22</v>
      </c>
      <c r="I26" s="193">
        <v>6</v>
      </c>
      <c r="J26" s="191">
        <v>0</v>
      </c>
    </row>
    <row r="27" spans="1:10" x14ac:dyDescent="0.5">
      <c r="A27" s="170">
        <v>26</v>
      </c>
      <c r="B27" s="8" t="s">
        <v>145</v>
      </c>
      <c r="C27" s="12" t="s">
        <v>1357</v>
      </c>
      <c r="D27" s="8" t="s">
        <v>1358</v>
      </c>
      <c r="E27" s="184"/>
      <c r="F27" s="184"/>
      <c r="G27" s="170">
        <v>4</v>
      </c>
      <c r="H27" s="101" t="s">
        <v>22</v>
      </c>
      <c r="I27" s="184"/>
      <c r="J27" s="184"/>
    </row>
    <row r="28" spans="1:10" x14ac:dyDescent="0.5">
      <c r="A28" s="170">
        <v>27</v>
      </c>
      <c r="B28" s="8" t="s">
        <v>136</v>
      </c>
      <c r="C28" s="12" t="s">
        <v>1359</v>
      </c>
      <c r="D28" s="8" t="s">
        <v>1360</v>
      </c>
      <c r="E28" s="192" t="s">
        <v>22</v>
      </c>
      <c r="F28" s="193">
        <v>2</v>
      </c>
      <c r="G28" s="170">
        <v>2</v>
      </c>
      <c r="H28" s="101" t="s">
        <v>22</v>
      </c>
      <c r="I28" s="193">
        <v>4</v>
      </c>
      <c r="J28" s="191">
        <v>0</v>
      </c>
    </row>
    <row r="29" spans="1:10" x14ac:dyDescent="0.5">
      <c r="A29" s="170">
        <v>28</v>
      </c>
      <c r="B29" s="8" t="s">
        <v>94</v>
      </c>
      <c r="C29" s="12" t="s">
        <v>1361</v>
      </c>
      <c r="D29" s="8" t="s">
        <v>1362</v>
      </c>
      <c r="E29" s="184"/>
      <c r="F29" s="184"/>
      <c r="G29" s="170">
        <v>2</v>
      </c>
      <c r="H29" s="101" t="s">
        <v>22</v>
      </c>
      <c r="I29" s="184"/>
      <c r="J29" s="184"/>
    </row>
    <row r="30" spans="1:10" x14ac:dyDescent="0.5">
      <c r="A30" s="170">
        <v>29</v>
      </c>
      <c r="B30" s="8" t="s">
        <v>166</v>
      </c>
      <c r="C30" s="12" t="s">
        <v>1363</v>
      </c>
      <c r="D30" s="8" t="s">
        <v>1364</v>
      </c>
      <c r="E30" s="169" t="s">
        <v>1365</v>
      </c>
      <c r="F30" s="170">
        <v>6</v>
      </c>
      <c r="G30" s="170">
        <v>2</v>
      </c>
      <c r="H30" s="101" t="s">
        <v>22</v>
      </c>
      <c r="I30" s="170">
        <v>3</v>
      </c>
      <c r="J30" s="171">
        <v>0</v>
      </c>
    </row>
    <row r="31" spans="1:10" x14ac:dyDescent="0.5">
      <c r="A31" s="170">
        <v>30</v>
      </c>
      <c r="B31" s="8" t="s">
        <v>162</v>
      </c>
      <c r="C31" s="12" t="s">
        <v>1366</v>
      </c>
      <c r="D31" s="8" t="s">
        <v>1367</v>
      </c>
      <c r="E31" s="192" t="s">
        <v>1368</v>
      </c>
      <c r="F31" s="193">
        <v>2</v>
      </c>
      <c r="G31" s="170">
        <v>2</v>
      </c>
      <c r="H31" s="101" t="s">
        <v>22</v>
      </c>
      <c r="I31" s="193">
        <v>7</v>
      </c>
      <c r="J31" s="191">
        <v>0</v>
      </c>
    </row>
    <row r="32" spans="1:10" x14ac:dyDescent="0.5">
      <c r="A32" s="170">
        <v>31</v>
      </c>
      <c r="B32" s="8" t="s">
        <v>178</v>
      </c>
      <c r="C32" s="12" t="s">
        <v>1369</v>
      </c>
      <c r="D32" s="8" t="s">
        <v>1370</v>
      </c>
      <c r="E32" s="186"/>
      <c r="F32" s="186"/>
      <c r="G32" s="170">
        <v>2</v>
      </c>
      <c r="H32" s="101" t="s">
        <v>22</v>
      </c>
      <c r="I32" s="186"/>
      <c r="J32" s="186"/>
    </row>
    <row r="33" spans="1:10" x14ac:dyDescent="0.5">
      <c r="A33" s="170">
        <v>32</v>
      </c>
      <c r="B33" s="8" t="s">
        <v>141</v>
      </c>
      <c r="C33" s="12" t="s">
        <v>1371</v>
      </c>
      <c r="D33" s="8" t="s">
        <v>1372</v>
      </c>
      <c r="E33" s="184"/>
      <c r="F33" s="184"/>
      <c r="G33" s="170">
        <v>2</v>
      </c>
      <c r="H33" s="101" t="s">
        <v>22</v>
      </c>
      <c r="I33" s="184"/>
      <c r="J33" s="184"/>
    </row>
    <row r="34" spans="1:10" x14ac:dyDescent="0.5">
      <c r="A34" s="170">
        <v>33</v>
      </c>
      <c r="B34" s="8" t="s">
        <v>209</v>
      </c>
      <c r="C34" s="12" t="s">
        <v>1373</v>
      </c>
      <c r="D34" s="8" t="s">
        <v>1374</v>
      </c>
      <c r="E34" s="192" t="s">
        <v>1375</v>
      </c>
      <c r="F34" s="193">
        <v>6</v>
      </c>
      <c r="G34" s="170">
        <v>2</v>
      </c>
      <c r="H34" s="101" t="s">
        <v>22</v>
      </c>
      <c r="I34" s="193">
        <v>2</v>
      </c>
      <c r="J34" s="191">
        <v>0</v>
      </c>
    </row>
    <row r="35" spans="1:10" x14ac:dyDescent="0.5">
      <c r="A35" s="170">
        <v>34</v>
      </c>
      <c r="B35" s="8" t="s">
        <v>189</v>
      </c>
      <c r="C35" s="12" t="s">
        <v>1376</v>
      </c>
      <c r="D35" s="8" t="s">
        <v>1377</v>
      </c>
      <c r="E35" s="186"/>
      <c r="F35" s="186"/>
      <c r="G35" s="170">
        <v>6</v>
      </c>
      <c r="H35" s="101" t="s">
        <v>22</v>
      </c>
      <c r="I35" s="186"/>
      <c r="J35" s="186"/>
    </row>
    <row r="36" spans="1:10" x14ac:dyDescent="0.5">
      <c r="A36" s="170">
        <v>35</v>
      </c>
      <c r="B36" s="8" t="s">
        <v>205</v>
      </c>
      <c r="C36" s="12" t="s">
        <v>1378</v>
      </c>
      <c r="D36" s="8" t="s">
        <v>1379</v>
      </c>
      <c r="E36" s="184"/>
      <c r="F36" s="184"/>
      <c r="G36" s="170">
        <v>4</v>
      </c>
      <c r="H36" s="101" t="s">
        <v>22</v>
      </c>
      <c r="I36" s="184"/>
      <c r="J36" s="184"/>
    </row>
    <row r="37" spans="1:10" x14ac:dyDescent="0.5">
      <c r="A37" s="170">
        <v>36</v>
      </c>
      <c r="B37" s="8" t="s">
        <v>193</v>
      </c>
      <c r="C37" s="12" t="s">
        <v>1380</v>
      </c>
      <c r="D37" s="8" t="s">
        <v>1381</v>
      </c>
      <c r="E37" s="169" t="s">
        <v>1382</v>
      </c>
      <c r="F37" s="170">
        <v>10</v>
      </c>
      <c r="G37" s="170">
        <v>10</v>
      </c>
      <c r="H37" s="101" t="s">
        <v>22</v>
      </c>
      <c r="I37" s="170">
        <v>3</v>
      </c>
      <c r="J37" s="171">
        <v>0</v>
      </c>
    </row>
    <row r="38" spans="1:10" x14ac:dyDescent="0.5">
      <c r="A38" s="170">
        <v>37</v>
      </c>
      <c r="B38" s="8" t="s">
        <v>184</v>
      </c>
      <c r="C38" s="12" t="s">
        <v>1383</v>
      </c>
      <c r="D38" s="8" t="s">
        <v>1384</v>
      </c>
      <c r="E38" s="169" t="s">
        <v>1385</v>
      </c>
      <c r="F38" s="170">
        <v>4</v>
      </c>
      <c r="G38" s="170">
        <v>4</v>
      </c>
      <c r="H38" s="101" t="s">
        <v>22</v>
      </c>
      <c r="I38" s="170">
        <v>6</v>
      </c>
      <c r="J38" s="171">
        <v>0</v>
      </c>
    </row>
    <row r="39" spans="1:10" x14ac:dyDescent="0.5">
      <c r="A39" s="170">
        <v>38</v>
      </c>
      <c r="B39" s="8" t="s">
        <v>213</v>
      </c>
      <c r="C39" s="12" t="s">
        <v>1386</v>
      </c>
      <c r="D39" s="8" t="s">
        <v>1387</v>
      </c>
      <c r="E39" s="169" t="s">
        <v>1388</v>
      </c>
      <c r="F39" s="170">
        <v>6</v>
      </c>
      <c r="G39" s="170">
        <v>6</v>
      </c>
      <c r="H39" s="101" t="s">
        <v>22</v>
      </c>
      <c r="I39" s="170">
        <v>5</v>
      </c>
      <c r="J39" s="171">
        <v>0</v>
      </c>
    </row>
    <row r="40" spans="1:10" x14ac:dyDescent="0.5">
      <c r="A40" s="170">
        <v>39</v>
      </c>
      <c r="B40" s="8" t="s">
        <v>211</v>
      </c>
      <c r="C40" s="12" t="s">
        <v>1389</v>
      </c>
      <c r="D40" s="8" t="s">
        <v>1390</v>
      </c>
      <c r="E40" s="169" t="s">
        <v>1391</v>
      </c>
      <c r="F40" s="170">
        <v>2</v>
      </c>
      <c r="G40" s="170">
        <v>2</v>
      </c>
      <c r="H40" s="101" t="s">
        <v>22</v>
      </c>
      <c r="I40" s="170">
        <v>5</v>
      </c>
      <c r="J40" s="171">
        <v>0</v>
      </c>
    </row>
    <row r="41" spans="1:10" x14ac:dyDescent="0.5">
      <c r="A41" s="170">
        <v>40</v>
      </c>
      <c r="B41" s="8" t="s">
        <v>223</v>
      </c>
      <c r="C41" s="12" t="s">
        <v>1392</v>
      </c>
      <c r="D41" s="8" t="s">
        <v>1393</v>
      </c>
      <c r="E41" s="192" t="s">
        <v>1394</v>
      </c>
      <c r="F41" s="193">
        <v>4</v>
      </c>
      <c r="G41" s="170">
        <v>4</v>
      </c>
      <c r="H41" s="101" t="s">
        <v>22</v>
      </c>
      <c r="I41" s="193">
        <v>5</v>
      </c>
      <c r="J41" s="191">
        <v>0</v>
      </c>
    </row>
    <row r="42" spans="1:10" x14ac:dyDescent="0.5">
      <c r="A42" s="170">
        <v>41</v>
      </c>
      <c r="B42" s="8" t="s">
        <v>227</v>
      </c>
      <c r="C42" s="12" t="s">
        <v>1395</v>
      </c>
      <c r="D42" s="8" t="s">
        <v>1396</v>
      </c>
      <c r="E42" s="184"/>
      <c r="F42" s="184"/>
      <c r="G42" s="170">
        <v>2</v>
      </c>
      <c r="H42" s="101" t="s">
        <v>22</v>
      </c>
      <c r="I42" s="184"/>
      <c r="J42" s="184"/>
    </row>
    <row r="43" spans="1:10" x14ac:dyDescent="0.5">
      <c r="A43" s="170">
        <v>42</v>
      </c>
      <c r="B43" s="8" t="s">
        <v>217</v>
      </c>
      <c r="C43" s="12" t="s">
        <v>1397</v>
      </c>
      <c r="D43" s="8" t="s">
        <v>1398</v>
      </c>
      <c r="E43" s="192" t="s">
        <v>1399</v>
      </c>
      <c r="F43" s="193">
        <v>20</v>
      </c>
      <c r="G43" s="170">
        <v>20</v>
      </c>
      <c r="H43" s="101" t="s">
        <v>22</v>
      </c>
      <c r="I43" s="193">
        <v>7</v>
      </c>
      <c r="J43" s="191">
        <v>0</v>
      </c>
    </row>
    <row r="44" spans="1:10" x14ac:dyDescent="0.5">
      <c r="A44" s="170">
        <v>43</v>
      </c>
      <c r="B44" s="8" t="s">
        <v>221</v>
      </c>
      <c r="C44" s="12" t="s">
        <v>1400</v>
      </c>
      <c r="D44" s="8" t="s">
        <v>1401</v>
      </c>
      <c r="E44" s="186"/>
      <c r="F44" s="186"/>
      <c r="G44" s="170">
        <v>5</v>
      </c>
      <c r="H44" s="101" t="s">
        <v>22</v>
      </c>
      <c r="I44" s="186"/>
      <c r="J44" s="186"/>
    </row>
    <row r="45" spans="1:10" x14ac:dyDescent="0.5">
      <c r="A45" s="170">
        <v>44</v>
      </c>
      <c r="B45" s="8" t="s">
        <v>235</v>
      </c>
      <c r="C45" s="12" t="s">
        <v>1402</v>
      </c>
      <c r="D45" s="8" t="s">
        <v>1403</v>
      </c>
      <c r="E45" s="186"/>
      <c r="F45" s="186"/>
      <c r="G45" s="170">
        <v>2</v>
      </c>
      <c r="H45" s="101" t="s">
        <v>22</v>
      </c>
      <c r="I45" s="186"/>
      <c r="J45" s="186"/>
    </row>
    <row r="46" spans="1:10" x14ac:dyDescent="0.5">
      <c r="A46" s="170">
        <v>45</v>
      </c>
      <c r="B46" s="8" t="s">
        <v>229</v>
      </c>
      <c r="C46" s="12" t="s">
        <v>1404</v>
      </c>
      <c r="D46" s="8" t="s">
        <v>1405</v>
      </c>
      <c r="E46" s="186"/>
      <c r="F46" s="186"/>
      <c r="G46" s="170">
        <v>2</v>
      </c>
      <c r="H46" s="101" t="s">
        <v>22</v>
      </c>
      <c r="I46" s="186"/>
      <c r="J46" s="186"/>
    </row>
    <row r="47" spans="1:10" x14ac:dyDescent="0.5">
      <c r="A47" s="170">
        <v>46</v>
      </c>
      <c r="B47" s="8" t="s">
        <v>225</v>
      </c>
      <c r="C47" s="12" t="s">
        <v>1406</v>
      </c>
      <c r="D47" s="8" t="s">
        <v>1407</v>
      </c>
      <c r="E47" s="186"/>
      <c r="F47" s="186"/>
      <c r="G47" s="170">
        <v>4</v>
      </c>
      <c r="H47" s="101" t="s">
        <v>22</v>
      </c>
      <c r="I47" s="186"/>
      <c r="J47" s="186"/>
    </row>
    <row r="48" spans="1:10" x14ac:dyDescent="0.5">
      <c r="A48" s="170">
        <v>47</v>
      </c>
      <c r="B48" s="8" t="s">
        <v>219</v>
      </c>
      <c r="C48" s="12" t="s">
        <v>1408</v>
      </c>
      <c r="D48" s="8" t="s">
        <v>1409</v>
      </c>
      <c r="E48" s="184"/>
      <c r="F48" s="184"/>
      <c r="G48" s="170">
        <v>2</v>
      </c>
      <c r="H48" s="101" t="s">
        <v>22</v>
      </c>
      <c r="I48" s="184"/>
      <c r="J48" s="184"/>
    </row>
    <row r="49" spans="1:10" x14ac:dyDescent="0.5">
      <c r="A49" s="170">
        <v>48</v>
      </c>
      <c r="B49" s="8" t="s">
        <v>174</v>
      </c>
      <c r="C49" s="12" t="s">
        <v>1410</v>
      </c>
      <c r="D49" s="8" t="s">
        <v>1411</v>
      </c>
      <c r="E49" s="192" t="s">
        <v>1412</v>
      </c>
      <c r="F49" s="193">
        <v>8</v>
      </c>
      <c r="G49" s="170">
        <v>8</v>
      </c>
      <c r="H49" s="101" t="s">
        <v>22</v>
      </c>
      <c r="I49" s="193">
        <v>4</v>
      </c>
      <c r="J49" s="191">
        <v>0</v>
      </c>
    </row>
    <row r="50" spans="1:10" x14ac:dyDescent="0.5">
      <c r="A50" s="170">
        <v>49</v>
      </c>
      <c r="B50" s="8" t="s">
        <v>201</v>
      </c>
      <c r="C50" s="12" t="s">
        <v>1413</v>
      </c>
      <c r="D50" s="8" t="s">
        <v>1414</v>
      </c>
      <c r="E50" s="184"/>
      <c r="F50" s="184"/>
      <c r="G50" s="170">
        <v>4</v>
      </c>
      <c r="H50" s="101" t="s">
        <v>22</v>
      </c>
      <c r="I50" s="184"/>
      <c r="J50" s="184"/>
    </row>
    <row r="51" spans="1:10" x14ac:dyDescent="0.5">
      <c r="A51" s="170">
        <v>50</v>
      </c>
      <c r="B51" s="8" t="s">
        <v>215</v>
      </c>
      <c r="C51" s="12" t="s">
        <v>1415</v>
      </c>
      <c r="D51" s="8" t="s">
        <v>1416</v>
      </c>
      <c r="E51" s="169" t="s">
        <v>182</v>
      </c>
      <c r="F51" s="170">
        <v>6</v>
      </c>
      <c r="G51" s="170">
        <v>6</v>
      </c>
      <c r="H51" s="101" t="s">
        <v>22</v>
      </c>
      <c r="I51" s="170">
        <v>7</v>
      </c>
      <c r="J51" s="171">
        <v>0</v>
      </c>
    </row>
    <row r="52" spans="1:10" x14ac:dyDescent="0.5">
      <c r="G52" s="169" t="s">
        <v>1417</v>
      </c>
      <c r="H52" s="101">
        <v>0</v>
      </c>
      <c r="I52" s="169" t="s">
        <v>1418</v>
      </c>
      <c r="J52" s="9">
        <v>0</v>
      </c>
    </row>
    <row r="53" spans="1:10" ht="4.8" customHeight="1" x14ac:dyDescent="0.5"/>
  </sheetData>
  <mergeCells count="56">
    <mergeCell ref="E2:E4"/>
    <mergeCell ref="F2:F4"/>
    <mergeCell ref="I2:I4"/>
    <mergeCell ref="E5:E7"/>
    <mergeCell ref="F5:F7"/>
    <mergeCell ref="I5:I7"/>
    <mergeCell ref="E8:E10"/>
    <mergeCell ref="F8:F10"/>
    <mergeCell ref="I8:I10"/>
    <mergeCell ref="E14:E16"/>
    <mergeCell ref="F14:F16"/>
    <mergeCell ref="I14:I16"/>
    <mergeCell ref="E17:E19"/>
    <mergeCell ref="F17:F19"/>
    <mergeCell ref="I17:I19"/>
    <mergeCell ref="E20:E22"/>
    <mergeCell ref="F20:F22"/>
    <mergeCell ref="I20:I22"/>
    <mergeCell ref="E23:E24"/>
    <mergeCell ref="F23:F24"/>
    <mergeCell ref="I23:I24"/>
    <mergeCell ref="E26:E27"/>
    <mergeCell ref="F26:F27"/>
    <mergeCell ref="I26:I27"/>
    <mergeCell ref="E49:E50"/>
    <mergeCell ref="F49:F50"/>
    <mergeCell ref="I49:I50"/>
    <mergeCell ref="E34:E36"/>
    <mergeCell ref="F34:F36"/>
    <mergeCell ref="I34:I36"/>
    <mergeCell ref="E41:E42"/>
    <mergeCell ref="F41:F42"/>
    <mergeCell ref="I41:I42"/>
    <mergeCell ref="E43:E48"/>
    <mergeCell ref="F43:F48"/>
    <mergeCell ref="I43:I48"/>
    <mergeCell ref="E28:E29"/>
    <mergeCell ref="F28:F29"/>
    <mergeCell ref="I28:I29"/>
    <mergeCell ref="E31:E33"/>
    <mergeCell ref="F31:F33"/>
    <mergeCell ref="I31:I33"/>
    <mergeCell ref="J5:J7"/>
    <mergeCell ref="J2:J4"/>
    <mergeCell ref="J43:J48"/>
    <mergeCell ref="J49:J50"/>
    <mergeCell ref="J41:J42"/>
    <mergeCell ref="J34:J36"/>
    <mergeCell ref="J31:J33"/>
    <mergeCell ref="J28:J29"/>
    <mergeCell ref="J26:J27"/>
    <mergeCell ref="J23:J24"/>
    <mergeCell ref="J20:J22"/>
    <mergeCell ref="J17:J19"/>
    <mergeCell ref="J14:J16"/>
    <mergeCell ref="J8:J10"/>
  </mergeCells>
  <phoneticPr fontId="32" type="noConversion"/>
  <conditionalFormatting sqref="H2">
    <cfRule type="cellIs" dxfId="6" priority="5" stopIfTrue="1" operator="equal">
      <formula>"N"</formula>
    </cfRule>
    <cfRule type="cellIs" dxfId="5" priority="6" stopIfTrue="1" operator="equal">
      <formula>"Y"</formula>
    </cfRule>
  </conditionalFormatting>
  <conditionalFormatting sqref="H3:H52">
    <cfRule type="cellIs" dxfId="4" priority="1" stopIfTrue="1" operator="equal">
      <formula>"N"</formula>
    </cfRule>
    <cfRule type="cellIs" dxfId="3" priority="2" stopIfTrue="1" operator="equal">
      <formula>"Y"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D10"/>
  <sheetViews>
    <sheetView workbookViewId="0">
      <selection activeCell="B9" sqref="B9"/>
    </sheetView>
  </sheetViews>
  <sheetFormatPr defaultColWidth="8.796875" defaultRowHeight="14.1" x14ac:dyDescent="0.5"/>
  <cols>
    <col min="1" max="1" width="11.6484375" style="3" customWidth="1"/>
    <col min="2" max="2" width="38.3984375" style="3" customWidth="1"/>
    <col min="3" max="3" width="13.75" style="3" customWidth="1"/>
    <col min="4" max="4" width="11.3984375" style="3" customWidth="1"/>
    <col min="5" max="131" width="8.796875" style="3" customWidth="1"/>
    <col min="132" max="16384" width="8.796875" style="3"/>
  </cols>
  <sheetData>
    <row r="1" spans="1:4" x14ac:dyDescent="0.5">
      <c r="A1" s="2" t="s">
        <v>1419</v>
      </c>
      <c r="B1" s="2" t="s">
        <v>1420</v>
      </c>
      <c r="C1" s="2" t="s">
        <v>1421</v>
      </c>
      <c r="D1" s="2" t="s">
        <v>1422</v>
      </c>
    </row>
    <row r="2" spans="1:4" x14ac:dyDescent="0.5">
      <c r="A2" s="4" t="s">
        <v>1423</v>
      </c>
      <c r="B2" s="4" t="s">
        <v>1424</v>
      </c>
      <c r="C2" s="4" t="s">
        <v>1425</v>
      </c>
      <c r="D2" s="5">
        <v>43758</v>
      </c>
    </row>
    <row r="3" spans="1:4" x14ac:dyDescent="0.5">
      <c r="A3" s="4" t="s">
        <v>1426</v>
      </c>
      <c r="B3" s="4" t="s">
        <v>1427</v>
      </c>
      <c r="C3" s="4" t="s">
        <v>1425</v>
      </c>
      <c r="D3" s="5">
        <v>43763</v>
      </c>
    </row>
    <row r="4" spans="1:4" x14ac:dyDescent="0.5">
      <c r="A4" s="4" t="s">
        <v>1428</v>
      </c>
      <c r="B4" s="4" t="s">
        <v>1429</v>
      </c>
      <c r="C4" s="4" t="s">
        <v>1425</v>
      </c>
      <c r="D4" s="5">
        <v>44074</v>
      </c>
    </row>
    <row r="5" spans="1:4" x14ac:dyDescent="0.5">
      <c r="A5" s="4" t="s">
        <v>1430</v>
      </c>
      <c r="B5" s="4" t="s">
        <v>1431</v>
      </c>
      <c r="C5" s="4" t="s">
        <v>1425</v>
      </c>
      <c r="D5" s="5">
        <v>44221</v>
      </c>
    </row>
    <row r="6" spans="1:4" x14ac:dyDescent="0.5">
      <c r="A6" s="4" t="s">
        <v>1432</v>
      </c>
      <c r="B6" s="4" t="s">
        <v>1433</v>
      </c>
      <c r="C6" s="4" t="s">
        <v>1425</v>
      </c>
      <c r="D6" s="5">
        <v>44252</v>
      </c>
    </row>
    <row r="7" spans="1:4" x14ac:dyDescent="0.5">
      <c r="A7" s="4" t="s">
        <v>1434</v>
      </c>
      <c r="B7" s="4" t="s">
        <v>1435</v>
      </c>
      <c r="C7" s="4" t="s">
        <v>1425</v>
      </c>
      <c r="D7" s="5">
        <v>44332</v>
      </c>
    </row>
    <row r="8" spans="1:4" x14ac:dyDescent="0.5">
      <c r="A8" s="4" t="s">
        <v>1436</v>
      </c>
      <c r="B8" s="4" t="s">
        <v>1437</v>
      </c>
      <c r="C8" s="4" t="s">
        <v>1425</v>
      </c>
      <c r="D8" s="5">
        <v>44335</v>
      </c>
    </row>
    <row r="9" spans="1:4" x14ac:dyDescent="0.5">
      <c r="A9" s="4"/>
      <c r="B9" s="4"/>
      <c r="C9" s="4"/>
      <c r="D9" s="5"/>
    </row>
    <row r="10" spans="1:4" x14ac:dyDescent="0.5">
      <c r="A10" s="4"/>
      <c r="B10" s="4"/>
      <c r="C10" s="4"/>
      <c r="D10" s="5"/>
    </row>
  </sheetData>
  <phoneticPr fontId="32" type="noConversion"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1"/>
  </sheetPr>
  <dimension ref="A1:AC87"/>
  <sheetViews>
    <sheetView showGridLines="0" zoomScaleNormal="100" workbookViewId="0">
      <selection activeCell="B20" sqref="B20"/>
    </sheetView>
  </sheetViews>
  <sheetFormatPr defaultColWidth="15.3984375" defaultRowHeight="12.6" customHeight="1" x14ac:dyDescent="0.5"/>
  <cols>
    <col min="1" max="1" width="21.546875" style="172" customWidth="1"/>
    <col min="2" max="2" width="14.046875" style="172" customWidth="1"/>
    <col min="3" max="3" width="0.44921875" style="172" customWidth="1"/>
    <col min="4" max="4" width="5.59765625" style="101" customWidth="1"/>
    <col min="5" max="5" width="3.6484375" style="101" customWidth="1"/>
    <col min="6" max="6" width="3.3984375" style="172" customWidth="1"/>
    <col min="7" max="7" width="5.19921875" style="102" customWidth="1"/>
    <col min="8" max="8" width="9.75" style="101" bestFit="1" customWidth="1"/>
    <col min="9" max="9" width="28.59765625" style="103" customWidth="1"/>
    <col min="10" max="10" width="3.19921875" style="172" bestFit="1" customWidth="1"/>
    <col min="11" max="11" width="18.546875" style="102" customWidth="1"/>
    <col min="12" max="12" width="0.44921875" style="172" customWidth="1"/>
    <col min="13" max="13" width="5.59765625" style="101" bestFit="1" customWidth="1"/>
    <col min="14" max="14" width="3.3984375" style="172" bestFit="1" customWidth="1"/>
    <col min="15" max="15" width="5.546875" style="102" customWidth="1"/>
    <col min="16" max="16" width="9.25" style="101" bestFit="1" customWidth="1"/>
    <col min="17" max="17" width="28.59765625" style="103" customWidth="1"/>
    <col min="18" max="18" width="3.19921875" style="172" bestFit="1" customWidth="1"/>
    <col min="19" max="19" width="18.546875" style="172" customWidth="1"/>
    <col min="20" max="20" width="0.44921875" style="172" customWidth="1"/>
    <col min="21" max="21" width="4.6484375" style="172" customWidth="1"/>
    <col min="22" max="22" width="19" style="63" bestFit="1" customWidth="1"/>
    <col min="23" max="23" width="40.1484375" style="63" bestFit="1" customWidth="1"/>
    <col min="24" max="24" width="4.94921875" style="172" customWidth="1"/>
    <col min="25" max="26" width="7.25" style="172" customWidth="1"/>
    <col min="27" max="27" width="4.94921875" style="172" customWidth="1"/>
    <col min="28" max="29" width="7.25" style="172" customWidth="1"/>
    <col min="30" max="121" width="15.3984375" style="172" customWidth="1"/>
    <col min="122" max="122" width="5.6484375" style="172" customWidth="1"/>
    <col min="123" max="152" width="15.3984375" style="172" customWidth="1"/>
    <col min="153" max="16384" width="15.3984375" style="172"/>
  </cols>
  <sheetData>
    <row r="1" spans="1:29" ht="12.6" customHeight="1" x14ac:dyDescent="0.5">
      <c r="A1" s="107" t="s">
        <v>11</v>
      </c>
      <c r="B1" s="65"/>
      <c r="C1" s="92"/>
      <c r="D1" s="44" t="s">
        <v>12</v>
      </c>
      <c r="E1" s="45" t="s">
        <v>13</v>
      </c>
      <c r="F1" s="45" t="s">
        <v>14</v>
      </c>
      <c r="G1" s="46" t="s">
        <v>15</v>
      </c>
      <c r="H1" s="45" t="s">
        <v>16</v>
      </c>
      <c r="I1" s="81" t="s">
        <v>17</v>
      </c>
      <c r="J1" s="45" t="s">
        <v>18</v>
      </c>
      <c r="K1" s="47" t="s">
        <v>19</v>
      </c>
      <c r="L1" s="45"/>
      <c r="M1" s="44" t="s">
        <v>12</v>
      </c>
      <c r="N1" s="45" t="s">
        <v>14</v>
      </c>
      <c r="O1" s="46" t="s">
        <v>15</v>
      </c>
      <c r="P1" s="45" t="s">
        <v>16</v>
      </c>
      <c r="Q1" s="81" t="s">
        <v>17</v>
      </c>
      <c r="R1" s="45" t="s">
        <v>18</v>
      </c>
      <c r="S1" s="48" t="s">
        <v>19</v>
      </c>
      <c r="T1" s="15"/>
      <c r="V1" s="45" t="s">
        <v>17</v>
      </c>
      <c r="W1" s="45" t="s">
        <v>1438</v>
      </c>
      <c r="X1" s="84" t="s">
        <v>23</v>
      </c>
      <c r="Y1" s="85" t="s">
        <v>43</v>
      </c>
      <c r="Z1" s="85" t="s">
        <v>1439</v>
      </c>
      <c r="AA1" s="84" t="s">
        <v>31</v>
      </c>
      <c r="AB1" s="85" t="s">
        <v>43</v>
      </c>
      <c r="AC1" s="85" t="s">
        <v>1439</v>
      </c>
    </row>
    <row r="2" spans="1:29" s="19" customFormat="1" ht="12.6" customHeight="1" x14ac:dyDescent="0.5">
      <c r="A2" s="18" t="s">
        <v>20</v>
      </c>
      <c r="B2" s="37" t="s">
        <v>21</v>
      </c>
      <c r="C2" s="93"/>
      <c r="D2" s="98" t="s">
        <v>22</v>
      </c>
      <c r="E2" s="29" t="s">
        <v>23</v>
      </c>
      <c r="F2" s="30">
        <v>16</v>
      </c>
      <c r="G2" s="28" t="s">
        <v>24</v>
      </c>
      <c r="H2" s="49" t="s">
        <v>25</v>
      </c>
      <c r="I2" s="60" t="s">
        <v>26</v>
      </c>
      <c r="J2" s="51">
        <v>16</v>
      </c>
      <c r="K2" s="40" t="s">
        <v>27</v>
      </c>
      <c r="L2" s="52"/>
      <c r="M2" s="98" t="s">
        <v>22</v>
      </c>
      <c r="N2" s="42">
        <v>2</v>
      </c>
      <c r="O2" s="28" t="s">
        <v>24</v>
      </c>
      <c r="P2" s="53" t="s">
        <v>28</v>
      </c>
      <c r="Q2" s="88" t="s">
        <v>29</v>
      </c>
      <c r="R2" s="51">
        <v>2</v>
      </c>
      <c r="S2" s="40" t="s">
        <v>27</v>
      </c>
      <c r="T2" s="16"/>
      <c r="V2" s="49" t="s">
        <v>211</v>
      </c>
      <c r="W2" s="50" t="s">
        <v>212</v>
      </c>
      <c r="Y2" s="87" t="s">
        <v>23</v>
      </c>
      <c r="Z2" s="87" t="s">
        <v>23</v>
      </c>
      <c r="AB2" s="87" t="s">
        <v>31</v>
      </c>
      <c r="AC2" s="87" t="s">
        <v>31</v>
      </c>
    </row>
    <row r="3" spans="1:29" s="19" customFormat="1" ht="12.6" customHeight="1" x14ac:dyDescent="0.5">
      <c r="A3" s="18" t="s">
        <v>30</v>
      </c>
      <c r="B3" s="38">
        <v>5527</v>
      </c>
      <c r="C3" s="93"/>
      <c r="D3" s="99" t="s">
        <v>22</v>
      </c>
      <c r="E3" s="32" t="s">
        <v>31</v>
      </c>
      <c r="F3" s="33">
        <v>4</v>
      </c>
      <c r="G3" s="31" t="s">
        <v>32</v>
      </c>
      <c r="H3" s="49" t="s">
        <v>33</v>
      </c>
      <c r="I3" s="60" t="s">
        <v>34</v>
      </c>
      <c r="J3" s="54">
        <v>4</v>
      </c>
      <c r="K3" s="40" t="s">
        <v>27</v>
      </c>
      <c r="L3" s="52"/>
      <c r="M3" s="99" t="s">
        <v>22</v>
      </c>
      <c r="N3" s="43">
        <v>2</v>
      </c>
      <c r="O3" s="31" t="s">
        <v>24</v>
      </c>
      <c r="P3" s="55" t="s">
        <v>35</v>
      </c>
      <c r="Q3" s="61" t="s">
        <v>36</v>
      </c>
      <c r="R3" s="54">
        <v>2</v>
      </c>
      <c r="S3" s="40" t="s">
        <v>27</v>
      </c>
      <c r="T3" s="16"/>
      <c r="V3" s="49" t="s">
        <v>213</v>
      </c>
      <c r="W3" s="50" t="s">
        <v>214</v>
      </c>
      <c r="Y3" s="87" t="s">
        <v>1440</v>
      </c>
      <c r="Z3" s="87" t="s">
        <v>1440</v>
      </c>
      <c r="AB3" s="87" t="s">
        <v>183</v>
      </c>
      <c r="AC3" s="87" t="s">
        <v>183</v>
      </c>
    </row>
    <row r="4" spans="1:29" s="19" customFormat="1" ht="12.6" customHeight="1" x14ac:dyDescent="0.5">
      <c r="A4" s="18" t="s">
        <v>37</v>
      </c>
      <c r="B4" s="26" t="str">
        <f>VLOOKUP(B3,Product!A:C,3,FALSE)</f>
        <v>BerlinNA21 Sub6 SS</v>
      </c>
      <c r="C4" s="16"/>
      <c r="D4" s="99" t="s">
        <v>22</v>
      </c>
      <c r="E4" s="32" t="s">
        <v>31</v>
      </c>
      <c r="F4" s="33">
        <v>4</v>
      </c>
      <c r="G4" s="31" t="s">
        <v>32</v>
      </c>
      <c r="H4" s="49" t="s">
        <v>38</v>
      </c>
      <c r="I4" s="60" t="s">
        <v>39</v>
      </c>
      <c r="J4" s="54">
        <v>4</v>
      </c>
      <c r="K4" s="40" t="s">
        <v>27</v>
      </c>
      <c r="L4" s="52"/>
      <c r="M4" s="99" t="s">
        <v>22</v>
      </c>
      <c r="N4" s="43">
        <v>2</v>
      </c>
      <c r="O4" s="31" t="s">
        <v>24</v>
      </c>
      <c r="P4" s="55" t="s">
        <v>40</v>
      </c>
      <c r="Q4" s="61" t="s">
        <v>41</v>
      </c>
      <c r="R4" s="54">
        <v>2</v>
      </c>
      <c r="S4" s="40" t="s">
        <v>27</v>
      </c>
      <c r="T4" s="16"/>
      <c r="V4" s="49" t="s">
        <v>215</v>
      </c>
      <c r="W4" s="50" t="s">
        <v>216</v>
      </c>
      <c r="Y4" s="86"/>
      <c r="Z4" s="87" t="s">
        <v>1441</v>
      </c>
      <c r="AB4" s="87"/>
      <c r="AC4" s="87" t="s">
        <v>1442</v>
      </c>
    </row>
    <row r="5" spans="1:29" s="19" customFormat="1" ht="12.6" customHeight="1" x14ac:dyDescent="0.5">
      <c r="A5" s="18" t="s">
        <v>42</v>
      </c>
      <c r="B5" s="37" t="s">
        <v>43</v>
      </c>
      <c r="C5" s="93"/>
      <c r="D5" s="99" t="s">
        <v>22</v>
      </c>
      <c r="E5" s="32" t="s">
        <v>31</v>
      </c>
      <c r="F5" s="33">
        <v>4</v>
      </c>
      <c r="G5" s="31" t="s">
        <v>24</v>
      </c>
      <c r="H5" s="75" t="s">
        <v>44</v>
      </c>
      <c r="I5" s="60" t="s">
        <v>45</v>
      </c>
      <c r="J5" s="54">
        <v>4</v>
      </c>
      <c r="K5" s="40" t="s">
        <v>27</v>
      </c>
      <c r="L5" s="52"/>
      <c r="M5" s="99" t="s">
        <v>22</v>
      </c>
      <c r="N5" s="43">
        <v>2</v>
      </c>
      <c r="O5" s="31" t="s">
        <v>32</v>
      </c>
      <c r="P5" s="55" t="s">
        <v>46</v>
      </c>
      <c r="Q5" s="61" t="s">
        <v>47</v>
      </c>
      <c r="R5" s="54">
        <v>2</v>
      </c>
      <c r="S5" s="40" t="s">
        <v>27</v>
      </c>
      <c r="T5" s="16"/>
      <c r="V5" s="49" t="s">
        <v>1443</v>
      </c>
      <c r="W5" s="50" t="s">
        <v>1444</v>
      </c>
      <c r="Y5" s="172"/>
      <c r="Z5" s="172"/>
      <c r="AA5" s="172"/>
      <c r="AB5" s="172"/>
      <c r="AC5" s="172"/>
    </row>
    <row r="6" spans="1:29" ht="12.6" customHeight="1" x14ac:dyDescent="0.5">
      <c r="A6" s="18" t="s">
        <v>48</v>
      </c>
      <c r="B6" s="37" t="s">
        <v>49</v>
      </c>
      <c r="C6" s="93"/>
      <c r="D6" s="99" t="s">
        <v>22</v>
      </c>
      <c r="E6" s="32" t="s">
        <v>31</v>
      </c>
      <c r="F6" s="33">
        <v>4</v>
      </c>
      <c r="G6" s="31" t="s">
        <v>24</v>
      </c>
      <c r="H6" s="49" t="s">
        <v>50</v>
      </c>
      <c r="I6" s="60" t="s">
        <v>51</v>
      </c>
      <c r="J6" s="54">
        <v>4</v>
      </c>
      <c r="K6" s="40" t="s">
        <v>27</v>
      </c>
      <c r="L6" s="52"/>
      <c r="M6" s="99" t="s">
        <v>22</v>
      </c>
      <c r="N6" s="43">
        <v>2</v>
      </c>
      <c r="O6" s="31" t="s">
        <v>32</v>
      </c>
      <c r="P6" s="55" t="s">
        <v>52</v>
      </c>
      <c r="Q6" s="61" t="s">
        <v>53</v>
      </c>
      <c r="R6" s="54">
        <v>2</v>
      </c>
      <c r="S6" s="40" t="s">
        <v>27</v>
      </c>
      <c r="T6" s="16"/>
      <c r="V6" s="49" t="s">
        <v>217</v>
      </c>
      <c r="W6" s="50" t="s">
        <v>218</v>
      </c>
    </row>
    <row r="7" spans="1:29" ht="12.6" customHeight="1" x14ac:dyDescent="0.5">
      <c r="A7" s="177" t="s">
        <v>54</v>
      </c>
      <c r="B7" s="194"/>
      <c r="C7" s="16"/>
      <c r="D7" s="99" t="s">
        <v>22</v>
      </c>
      <c r="E7" s="32" t="s">
        <v>31</v>
      </c>
      <c r="F7" s="33">
        <v>4</v>
      </c>
      <c r="G7" s="31" t="s">
        <v>24</v>
      </c>
      <c r="H7" s="75" t="s">
        <v>55</v>
      </c>
      <c r="I7" s="60" t="s">
        <v>56</v>
      </c>
      <c r="J7" s="54">
        <v>4</v>
      </c>
      <c r="K7" s="40" t="s">
        <v>27</v>
      </c>
      <c r="L7" s="52"/>
      <c r="M7" s="99" t="s">
        <v>22</v>
      </c>
      <c r="N7" s="43">
        <v>2</v>
      </c>
      <c r="O7" s="31" t="s">
        <v>32</v>
      </c>
      <c r="P7" s="55" t="s">
        <v>57</v>
      </c>
      <c r="Q7" s="61" t="s">
        <v>58</v>
      </c>
      <c r="R7" s="54">
        <v>2</v>
      </c>
      <c r="S7" s="40" t="s">
        <v>27</v>
      </c>
      <c r="T7" s="16"/>
      <c r="V7" s="49" t="s">
        <v>219</v>
      </c>
      <c r="W7" s="50" t="s">
        <v>220</v>
      </c>
    </row>
    <row r="8" spans="1:29" ht="12.6" customHeight="1" x14ac:dyDescent="0.5">
      <c r="A8" s="20" t="s">
        <v>59</v>
      </c>
      <c r="B8" s="21"/>
      <c r="C8" s="94"/>
      <c r="D8" s="99" t="s">
        <v>22</v>
      </c>
      <c r="E8" s="32" t="s">
        <v>31</v>
      </c>
      <c r="F8" s="33">
        <v>8</v>
      </c>
      <c r="G8" s="31" t="s">
        <v>24</v>
      </c>
      <c r="H8" s="49" t="s">
        <v>60</v>
      </c>
      <c r="I8" s="60" t="s">
        <v>61</v>
      </c>
      <c r="J8" s="54">
        <v>8</v>
      </c>
      <c r="K8" s="40" t="s">
        <v>27</v>
      </c>
      <c r="L8" s="52"/>
      <c r="M8" s="99" t="s">
        <v>22</v>
      </c>
      <c r="N8" s="43">
        <v>2</v>
      </c>
      <c r="O8" s="31" t="s">
        <v>32</v>
      </c>
      <c r="P8" s="55" t="s">
        <v>62</v>
      </c>
      <c r="Q8" s="61" t="s">
        <v>63</v>
      </c>
      <c r="R8" s="54">
        <v>2</v>
      </c>
      <c r="S8" s="40" t="s">
        <v>27</v>
      </c>
      <c r="T8" s="16"/>
      <c r="V8" s="49" t="s">
        <v>221</v>
      </c>
      <c r="W8" s="50" t="s">
        <v>222</v>
      </c>
    </row>
    <row r="9" spans="1:29" ht="12.6" customHeight="1" x14ac:dyDescent="0.5">
      <c r="A9" s="18" t="s">
        <v>64</v>
      </c>
      <c r="B9" s="37" t="s">
        <v>65</v>
      </c>
      <c r="C9" s="93"/>
      <c r="D9" s="99" t="s">
        <v>22</v>
      </c>
      <c r="E9" s="32" t="s">
        <v>31</v>
      </c>
      <c r="F9" s="33">
        <v>9</v>
      </c>
      <c r="G9" s="31" t="s">
        <v>24</v>
      </c>
      <c r="H9" s="75" t="s">
        <v>66</v>
      </c>
      <c r="I9" s="60" t="s">
        <v>67</v>
      </c>
      <c r="J9" s="54">
        <v>9</v>
      </c>
      <c r="K9" s="40" t="s">
        <v>27</v>
      </c>
      <c r="L9" s="52"/>
      <c r="M9" s="99" t="s">
        <v>22</v>
      </c>
      <c r="N9" s="43">
        <v>2</v>
      </c>
      <c r="O9" s="31" t="s">
        <v>24</v>
      </c>
      <c r="P9" s="55" t="s">
        <v>68</v>
      </c>
      <c r="Q9" s="61" t="s">
        <v>69</v>
      </c>
      <c r="R9" s="54">
        <v>2</v>
      </c>
      <c r="S9" s="40" t="s">
        <v>27</v>
      </c>
      <c r="T9" s="16"/>
      <c r="V9" s="49" t="s">
        <v>223</v>
      </c>
      <c r="W9" s="50" t="s">
        <v>224</v>
      </c>
    </row>
    <row r="10" spans="1:29" ht="12.6" customHeight="1" x14ac:dyDescent="0.5">
      <c r="A10" s="18" t="s">
        <v>70</v>
      </c>
      <c r="B10" s="37" t="s">
        <v>65</v>
      </c>
      <c r="C10" s="93"/>
      <c r="D10" s="99" t="s">
        <v>22</v>
      </c>
      <c r="E10" s="32" t="s">
        <v>31</v>
      </c>
      <c r="F10" s="33">
        <v>3</v>
      </c>
      <c r="G10" s="31" t="s">
        <v>24</v>
      </c>
      <c r="H10" s="49" t="s">
        <v>71</v>
      </c>
      <c r="I10" s="60" t="s">
        <v>72</v>
      </c>
      <c r="J10" s="54">
        <v>3</v>
      </c>
      <c r="K10" s="40" t="s">
        <v>27</v>
      </c>
      <c r="L10" s="52"/>
      <c r="M10" s="99" t="s">
        <v>22</v>
      </c>
      <c r="N10" s="43">
        <v>2</v>
      </c>
      <c r="O10" s="31" t="s">
        <v>24</v>
      </c>
      <c r="P10" s="55" t="s">
        <v>73</v>
      </c>
      <c r="Q10" s="61" t="s">
        <v>74</v>
      </c>
      <c r="R10" s="54">
        <v>2</v>
      </c>
      <c r="S10" s="40" t="s">
        <v>27</v>
      </c>
      <c r="T10" s="16"/>
      <c r="V10" s="49" t="s">
        <v>225</v>
      </c>
      <c r="W10" s="50" t="s">
        <v>226</v>
      </c>
    </row>
    <row r="11" spans="1:29" ht="12.6" customHeight="1" x14ac:dyDescent="0.5">
      <c r="A11" s="177" t="s">
        <v>75</v>
      </c>
      <c r="B11" s="194"/>
      <c r="C11" s="16"/>
      <c r="D11" s="99" t="s">
        <v>22</v>
      </c>
      <c r="E11" s="32" t="s">
        <v>31</v>
      </c>
      <c r="F11" s="33">
        <v>2</v>
      </c>
      <c r="G11" s="31" t="s">
        <v>24</v>
      </c>
      <c r="H11" s="49" t="s">
        <v>76</v>
      </c>
      <c r="I11" s="60" t="s">
        <v>77</v>
      </c>
      <c r="J11" s="54">
        <v>2</v>
      </c>
      <c r="K11" s="40" t="s">
        <v>27</v>
      </c>
      <c r="L11" s="52"/>
      <c r="M11" s="99" t="s">
        <v>22</v>
      </c>
      <c r="N11" s="43">
        <v>2</v>
      </c>
      <c r="O11" s="31" t="s">
        <v>32</v>
      </c>
      <c r="P11" s="55" t="s">
        <v>78</v>
      </c>
      <c r="Q11" s="61" t="s">
        <v>79</v>
      </c>
      <c r="R11" s="54">
        <v>2</v>
      </c>
      <c r="S11" s="40" t="s">
        <v>27</v>
      </c>
      <c r="T11" s="16"/>
      <c r="V11" s="49" t="s">
        <v>227</v>
      </c>
      <c r="W11" s="50" t="s">
        <v>228</v>
      </c>
    </row>
    <row r="12" spans="1:29" ht="12.6" customHeight="1" x14ac:dyDescent="0.5">
      <c r="A12" s="18" t="s">
        <v>80</v>
      </c>
      <c r="B12" s="37" t="s">
        <v>81</v>
      </c>
      <c r="C12" s="93"/>
      <c r="D12" s="99" t="s">
        <v>22</v>
      </c>
      <c r="E12" s="32" t="s">
        <v>31</v>
      </c>
      <c r="F12" s="33">
        <v>4</v>
      </c>
      <c r="G12" s="31" t="s">
        <v>24</v>
      </c>
      <c r="H12" s="75" t="s">
        <v>82</v>
      </c>
      <c r="I12" s="60" t="s">
        <v>83</v>
      </c>
      <c r="J12" s="54">
        <v>4</v>
      </c>
      <c r="K12" s="40" t="s">
        <v>27</v>
      </c>
      <c r="L12" s="52"/>
      <c r="M12" s="99" t="s">
        <v>22</v>
      </c>
      <c r="N12" s="43">
        <v>2</v>
      </c>
      <c r="O12" s="31" t="s">
        <v>24</v>
      </c>
      <c r="P12" s="55" t="s">
        <v>84</v>
      </c>
      <c r="Q12" s="61" t="s">
        <v>85</v>
      </c>
      <c r="R12" s="54">
        <v>2</v>
      </c>
      <c r="S12" s="40" t="s">
        <v>27</v>
      </c>
      <c r="T12" s="16"/>
      <c r="V12" s="49" t="s">
        <v>229</v>
      </c>
      <c r="W12" s="50" t="s">
        <v>230</v>
      </c>
    </row>
    <row r="13" spans="1:29" ht="12.6" customHeight="1" x14ac:dyDescent="0.5">
      <c r="A13" s="18" t="s">
        <v>86</v>
      </c>
      <c r="B13" s="37" t="s">
        <v>453</v>
      </c>
      <c r="C13" s="93"/>
      <c r="D13" s="99" t="s">
        <v>22</v>
      </c>
      <c r="E13" s="32" t="s">
        <v>31</v>
      </c>
      <c r="F13" s="33">
        <v>4</v>
      </c>
      <c r="G13" s="31" t="s">
        <v>24</v>
      </c>
      <c r="H13" s="49" t="s">
        <v>88</v>
      </c>
      <c r="I13" s="60" t="s">
        <v>89</v>
      </c>
      <c r="J13" s="54">
        <v>4</v>
      </c>
      <c r="K13" s="40" t="s">
        <v>27</v>
      </c>
      <c r="L13" s="52"/>
      <c r="M13" s="99" t="s">
        <v>22</v>
      </c>
      <c r="N13" s="43">
        <v>10</v>
      </c>
      <c r="O13" s="31" t="s">
        <v>24</v>
      </c>
      <c r="P13" s="55" t="s">
        <v>90</v>
      </c>
      <c r="Q13" s="61" t="s">
        <v>91</v>
      </c>
      <c r="R13" s="54">
        <v>10</v>
      </c>
      <c r="S13" s="40" t="s">
        <v>27</v>
      </c>
      <c r="T13" s="16"/>
      <c r="V13" s="49" t="s">
        <v>231</v>
      </c>
      <c r="W13" s="50" t="s">
        <v>232</v>
      </c>
    </row>
    <row r="14" spans="1:29" ht="12.6" customHeight="1" x14ac:dyDescent="0.5">
      <c r="A14" s="18" t="s">
        <v>92</v>
      </c>
      <c r="B14" s="37" t="s">
        <v>93</v>
      </c>
      <c r="C14" s="93"/>
      <c r="D14" s="99" t="s">
        <v>22</v>
      </c>
      <c r="E14" s="32" t="s">
        <v>31</v>
      </c>
      <c r="F14" s="33">
        <v>2</v>
      </c>
      <c r="G14" s="31" t="s">
        <v>24</v>
      </c>
      <c r="H14" s="49" t="s">
        <v>94</v>
      </c>
      <c r="I14" s="60" t="s">
        <v>95</v>
      </c>
      <c r="J14" s="54">
        <v>2</v>
      </c>
      <c r="K14" s="40" t="s">
        <v>27</v>
      </c>
      <c r="L14" s="52"/>
      <c r="M14" s="99" t="s">
        <v>22</v>
      </c>
      <c r="N14" s="43">
        <v>10</v>
      </c>
      <c r="O14" s="31" t="s">
        <v>24</v>
      </c>
      <c r="P14" s="55" t="s">
        <v>96</v>
      </c>
      <c r="Q14" s="61" t="s">
        <v>97</v>
      </c>
      <c r="R14" s="54">
        <v>10</v>
      </c>
      <c r="S14" s="40" t="s">
        <v>27</v>
      </c>
      <c r="T14" s="16"/>
      <c r="V14" s="49" t="s">
        <v>233</v>
      </c>
      <c r="W14" s="50" t="s">
        <v>234</v>
      </c>
    </row>
    <row r="15" spans="1:29" ht="12.6" customHeight="1" x14ac:dyDescent="0.5">
      <c r="A15" s="18" t="s">
        <v>98</v>
      </c>
      <c r="B15" s="37" t="s">
        <v>1445</v>
      </c>
      <c r="C15" s="93"/>
      <c r="D15" s="99" t="s">
        <v>22</v>
      </c>
      <c r="E15" s="32" t="s">
        <v>31</v>
      </c>
      <c r="F15" s="33">
        <v>4</v>
      </c>
      <c r="G15" s="31" t="s">
        <v>32</v>
      </c>
      <c r="H15" s="49" t="s">
        <v>100</v>
      </c>
      <c r="I15" s="60" t="s">
        <v>101</v>
      </c>
      <c r="J15" s="54">
        <v>4</v>
      </c>
      <c r="K15" s="40" t="s">
        <v>27</v>
      </c>
      <c r="L15" s="52"/>
      <c r="M15" s="99" t="s">
        <v>22</v>
      </c>
      <c r="N15" s="43">
        <v>2</v>
      </c>
      <c r="O15" s="31" t="s">
        <v>24</v>
      </c>
      <c r="P15" s="55" t="s">
        <v>102</v>
      </c>
      <c r="Q15" s="61" t="s">
        <v>103</v>
      </c>
      <c r="R15" s="54">
        <v>2</v>
      </c>
      <c r="S15" s="40" t="s">
        <v>27</v>
      </c>
      <c r="T15" s="16"/>
      <c r="V15" s="49" t="s">
        <v>235</v>
      </c>
      <c r="W15" s="50" t="s">
        <v>236</v>
      </c>
    </row>
    <row r="16" spans="1:29" ht="12.6" customHeight="1" x14ac:dyDescent="0.5">
      <c r="A16" s="179" t="s">
        <v>104</v>
      </c>
      <c r="B16" s="180"/>
      <c r="C16" s="95"/>
      <c r="D16" s="99" t="s">
        <v>22</v>
      </c>
      <c r="E16" s="32" t="s">
        <v>31</v>
      </c>
      <c r="F16" s="33">
        <v>3</v>
      </c>
      <c r="G16" s="31" t="s">
        <v>24</v>
      </c>
      <c r="H16" s="49" t="s">
        <v>105</v>
      </c>
      <c r="I16" s="60" t="s">
        <v>106</v>
      </c>
      <c r="J16" s="54">
        <v>3</v>
      </c>
      <c r="K16" s="40" t="s">
        <v>27</v>
      </c>
      <c r="L16" s="52"/>
      <c r="M16" s="99" t="s">
        <v>22</v>
      </c>
      <c r="N16" s="43">
        <v>2</v>
      </c>
      <c r="O16" s="31" t="s">
        <v>24</v>
      </c>
      <c r="P16" s="55" t="s">
        <v>107</v>
      </c>
      <c r="Q16" s="61" t="s">
        <v>108</v>
      </c>
      <c r="R16" s="54">
        <v>2</v>
      </c>
      <c r="S16" s="40" t="s">
        <v>27</v>
      </c>
      <c r="T16" s="16"/>
      <c r="V16" s="49" t="s">
        <v>1446</v>
      </c>
      <c r="W16" s="50" t="s">
        <v>1447</v>
      </c>
    </row>
    <row r="17" spans="1:23" ht="12.6" customHeight="1" x14ac:dyDescent="0.5">
      <c r="A17" s="22" t="s">
        <v>109</v>
      </c>
      <c r="B17" s="39" t="s">
        <v>1005</v>
      </c>
      <c r="C17" s="96"/>
      <c r="D17" s="99" t="s">
        <v>22</v>
      </c>
      <c r="E17" s="32" t="s">
        <v>31</v>
      </c>
      <c r="F17" s="33">
        <v>4</v>
      </c>
      <c r="G17" s="31" t="s">
        <v>24</v>
      </c>
      <c r="H17" s="49" t="s">
        <v>111</v>
      </c>
      <c r="I17" s="60" t="s">
        <v>112</v>
      </c>
      <c r="J17" s="54">
        <v>4</v>
      </c>
      <c r="K17" s="40" t="s">
        <v>27</v>
      </c>
      <c r="L17" s="52"/>
      <c r="M17" s="99" t="s">
        <v>22</v>
      </c>
      <c r="N17" s="43">
        <v>2</v>
      </c>
      <c r="O17" s="31" t="s">
        <v>24</v>
      </c>
      <c r="P17" s="55" t="s">
        <v>113</v>
      </c>
      <c r="Q17" s="61" t="s">
        <v>114</v>
      </c>
      <c r="R17" s="54">
        <v>2</v>
      </c>
      <c r="S17" s="40" t="s">
        <v>27</v>
      </c>
      <c r="T17" s="16"/>
      <c r="V17" s="49" t="s">
        <v>33</v>
      </c>
      <c r="W17" s="50" t="s">
        <v>34</v>
      </c>
    </row>
    <row r="18" spans="1:23" ht="12.6" customHeight="1" x14ac:dyDescent="0.5">
      <c r="A18" s="18" t="s">
        <v>115</v>
      </c>
      <c r="B18" s="39" t="s">
        <v>116</v>
      </c>
      <c r="C18" s="96"/>
      <c r="D18" s="99" t="s">
        <v>22</v>
      </c>
      <c r="E18" s="32" t="s">
        <v>31</v>
      </c>
      <c r="F18" s="33">
        <v>4</v>
      </c>
      <c r="G18" s="31" t="s">
        <v>24</v>
      </c>
      <c r="H18" s="49" t="s">
        <v>117</v>
      </c>
      <c r="I18" s="60" t="s">
        <v>118</v>
      </c>
      <c r="J18" s="54">
        <v>4</v>
      </c>
      <c r="K18" s="40" t="s">
        <v>27</v>
      </c>
      <c r="L18" s="52"/>
      <c r="M18" s="99" t="s">
        <v>22</v>
      </c>
      <c r="N18" s="43">
        <v>2</v>
      </c>
      <c r="O18" s="31" t="s">
        <v>32</v>
      </c>
      <c r="P18" s="55" t="s">
        <v>119</v>
      </c>
      <c r="Q18" s="61" t="s">
        <v>120</v>
      </c>
      <c r="R18" s="54">
        <v>2</v>
      </c>
      <c r="S18" s="40" t="s">
        <v>27</v>
      </c>
      <c r="T18" s="16"/>
      <c r="V18" s="49" t="s">
        <v>1448</v>
      </c>
      <c r="W18" s="50" t="s">
        <v>1449</v>
      </c>
    </row>
    <row r="19" spans="1:23" ht="12.6" customHeight="1" x14ac:dyDescent="0.5">
      <c r="A19" s="18" t="s">
        <v>121</v>
      </c>
      <c r="B19" s="173">
        <f ca="1">TODAY()</f>
        <v>44385</v>
      </c>
      <c r="C19" s="174"/>
      <c r="D19" s="99" t="s">
        <v>22</v>
      </c>
      <c r="E19" s="32" t="s">
        <v>31</v>
      </c>
      <c r="F19" s="33">
        <v>6</v>
      </c>
      <c r="G19" s="31" t="s">
        <v>24</v>
      </c>
      <c r="H19" s="49" t="s">
        <v>122</v>
      </c>
      <c r="I19" s="60" t="s">
        <v>123</v>
      </c>
      <c r="J19" s="54">
        <v>6</v>
      </c>
      <c r="K19" s="40" t="s">
        <v>27</v>
      </c>
      <c r="L19" s="52"/>
      <c r="M19" s="99" t="s">
        <v>22</v>
      </c>
      <c r="N19" s="43">
        <v>2</v>
      </c>
      <c r="O19" s="31" t="s">
        <v>32</v>
      </c>
      <c r="P19" s="55" t="s">
        <v>124</v>
      </c>
      <c r="Q19" s="61" t="s">
        <v>125</v>
      </c>
      <c r="R19" s="54">
        <v>2</v>
      </c>
      <c r="S19" s="40" t="s">
        <v>27</v>
      </c>
      <c r="T19" s="16"/>
      <c r="V19" s="49" t="s">
        <v>1450</v>
      </c>
      <c r="W19" s="50" t="s">
        <v>1451</v>
      </c>
    </row>
    <row r="20" spans="1:23" ht="12.6" customHeight="1" x14ac:dyDescent="0.5">
      <c r="A20" s="18" t="s">
        <v>126</v>
      </c>
      <c r="B20" s="39">
        <v>0</v>
      </c>
      <c r="C20" s="96"/>
      <c r="D20" s="99" t="s">
        <v>22</v>
      </c>
      <c r="E20" s="32" t="s">
        <v>31</v>
      </c>
      <c r="F20" s="33">
        <v>4</v>
      </c>
      <c r="G20" s="31" t="s">
        <v>32</v>
      </c>
      <c r="H20" s="75" t="s">
        <v>127</v>
      </c>
      <c r="I20" s="60" t="s">
        <v>128</v>
      </c>
      <c r="J20" s="54">
        <v>4</v>
      </c>
      <c r="K20" s="40" t="s">
        <v>27</v>
      </c>
      <c r="L20" s="52"/>
      <c r="M20" s="99" t="s">
        <v>22</v>
      </c>
      <c r="N20" s="43">
        <v>2</v>
      </c>
      <c r="O20" s="31" t="s">
        <v>24</v>
      </c>
      <c r="P20" s="55" t="s">
        <v>129</v>
      </c>
      <c r="Q20" s="61" t="s">
        <v>130</v>
      </c>
      <c r="R20" s="54">
        <v>2</v>
      </c>
      <c r="S20" s="40" t="s">
        <v>27</v>
      </c>
      <c r="T20" s="16"/>
      <c r="V20" s="49" t="s">
        <v>38</v>
      </c>
      <c r="W20" s="50" t="s">
        <v>1452</v>
      </c>
    </row>
    <row r="21" spans="1:23" ht="12.6" customHeight="1" x14ac:dyDescent="0.5">
      <c r="A21" s="66"/>
      <c r="B21" s="26"/>
      <c r="C21" s="16"/>
      <c r="D21" s="99" t="s">
        <v>22</v>
      </c>
      <c r="E21" s="32" t="s">
        <v>31</v>
      </c>
      <c r="F21" s="33">
        <v>4</v>
      </c>
      <c r="G21" s="31" t="s">
        <v>24</v>
      </c>
      <c r="H21" s="49" t="s">
        <v>131</v>
      </c>
      <c r="I21" s="60" t="s">
        <v>132</v>
      </c>
      <c r="J21" s="54">
        <v>4</v>
      </c>
      <c r="K21" s="40" t="s">
        <v>27</v>
      </c>
      <c r="L21" s="52"/>
      <c r="M21" s="99" t="s">
        <v>22</v>
      </c>
      <c r="N21" s="43">
        <v>2</v>
      </c>
      <c r="O21" s="31" t="s">
        <v>24</v>
      </c>
      <c r="P21" s="55" t="s">
        <v>133</v>
      </c>
      <c r="Q21" s="61" t="s">
        <v>134</v>
      </c>
      <c r="R21" s="54">
        <v>2</v>
      </c>
      <c r="S21" s="40" t="s">
        <v>27</v>
      </c>
      <c r="T21" s="16"/>
      <c r="V21" s="49" t="s">
        <v>1453</v>
      </c>
      <c r="W21" s="50" t="s">
        <v>1454</v>
      </c>
    </row>
    <row r="22" spans="1:23" ht="12.6" customHeight="1" x14ac:dyDescent="0.5">
      <c r="A22" s="73" t="s">
        <v>135</v>
      </c>
      <c r="B22" s="64">
        <f>COUNTIF(D2:D56,"Y")+COUNTIF(M2:M54,"Y")</f>
        <v>0</v>
      </c>
      <c r="C22" s="97"/>
      <c r="D22" s="99" t="s">
        <v>22</v>
      </c>
      <c r="E22" s="32" t="s">
        <v>31</v>
      </c>
      <c r="F22" s="33">
        <v>2</v>
      </c>
      <c r="G22" s="31" t="s">
        <v>24</v>
      </c>
      <c r="H22" s="49" t="s">
        <v>136</v>
      </c>
      <c r="I22" s="60" t="s">
        <v>137</v>
      </c>
      <c r="J22" s="54">
        <v>2</v>
      </c>
      <c r="K22" s="40" t="s">
        <v>27</v>
      </c>
      <c r="L22" s="52"/>
      <c r="M22" s="99" t="s">
        <v>22</v>
      </c>
      <c r="N22" s="43">
        <v>15</v>
      </c>
      <c r="O22" s="31" t="s">
        <v>24</v>
      </c>
      <c r="P22" s="55" t="s">
        <v>138</v>
      </c>
      <c r="Q22" s="61" t="s">
        <v>139</v>
      </c>
      <c r="R22" s="54">
        <v>15</v>
      </c>
      <c r="S22" s="40" t="s">
        <v>27</v>
      </c>
      <c r="T22" s="16"/>
      <c r="V22" s="49" t="s">
        <v>44</v>
      </c>
      <c r="W22" s="50" t="s">
        <v>45</v>
      </c>
    </row>
    <row r="23" spans="1:23" ht="12.6" customHeight="1" x14ac:dyDescent="0.5">
      <c r="A23" s="73" t="s">
        <v>140</v>
      </c>
      <c r="B23" s="64">
        <f>SUMIFS(F2:F61, D2:D61, "Y", G2:G61,"New")+SUMIFS(N2:N38, M2:M38, "Y", O2:O38,"New")</f>
        <v>0</v>
      </c>
      <c r="C23" s="97"/>
      <c r="D23" s="99" t="s">
        <v>22</v>
      </c>
      <c r="E23" s="32" t="s">
        <v>31</v>
      </c>
      <c r="F23" s="33">
        <v>2</v>
      </c>
      <c r="G23" s="31" t="s">
        <v>24</v>
      </c>
      <c r="H23" s="49" t="s">
        <v>141</v>
      </c>
      <c r="I23" s="60" t="s">
        <v>142</v>
      </c>
      <c r="J23" s="54">
        <v>2</v>
      </c>
      <c r="K23" s="40" t="s">
        <v>27</v>
      </c>
      <c r="L23" s="52"/>
      <c r="M23" s="99" t="s">
        <v>22</v>
      </c>
      <c r="N23" s="43">
        <v>10</v>
      </c>
      <c r="O23" s="31" t="s">
        <v>24</v>
      </c>
      <c r="P23" s="55" t="s">
        <v>143</v>
      </c>
      <c r="Q23" s="61" t="s">
        <v>144</v>
      </c>
      <c r="R23" s="54">
        <v>8</v>
      </c>
      <c r="S23" s="40" t="s">
        <v>27</v>
      </c>
      <c r="T23" s="16"/>
      <c r="V23" s="49" t="s">
        <v>1455</v>
      </c>
      <c r="W23" s="50" t="s">
        <v>1456</v>
      </c>
    </row>
    <row r="24" spans="1:23" ht="12.6" customHeight="1" x14ac:dyDescent="0.5">
      <c r="A24" s="67"/>
      <c r="B24" s="26"/>
      <c r="C24" s="16"/>
      <c r="D24" s="99" t="s">
        <v>22</v>
      </c>
      <c r="E24" s="32" t="s">
        <v>31</v>
      </c>
      <c r="F24" s="33">
        <v>4</v>
      </c>
      <c r="G24" s="31" t="s">
        <v>24</v>
      </c>
      <c r="H24" s="49" t="s">
        <v>145</v>
      </c>
      <c r="I24" s="60" t="s">
        <v>146</v>
      </c>
      <c r="J24" s="54">
        <v>4</v>
      </c>
      <c r="K24" s="40" t="s">
        <v>27</v>
      </c>
      <c r="L24" s="52"/>
      <c r="M24" s="99" t="s">
        <v>22</v>
      </c>
      <c r="N24" s="43">
        <v>10</v>
      </c>
      <c r="O24" s="31" t="s">
        <v>24</v>
      </c>
      <c r="P24" s="55" t="s">
        <v>147</v>
      </c>
      <c r="Q24" s="61" t="s">
        <v>148</v>
      </c>
      <c r="R24" s="54">
        <v>6</v>
      </c>
      <c r="S24" s="40" t="s">
        <v>27</v>
      </c>
      <c r="T24" s="16"/>
      <c r="V24" s="49" t="s">
        <v>1457</v>
      </c>
      <c r="W24" s="50" t="s">
        <v>1458</v>
      </c>
    </row>
    <row r="25" spans="1:23" ht="12.6" customHeight="1" x14ac:dyDescent="0.5">
      <c r="A25" s="181" t="s">
        <v>149</v>
      </c>
      <c r="B25" s="194"/>
      <c r="C25" s="16"/>
      <c r="D25" s="99" t="s">
        <v>22</v>
      </c>
      <c r="E25" s="32" t="s">
        <v>31</v>
      </c>
      <c r="F25" s="33">
        <v>5</v>
      </c>
      <c r="G25" s="31" t="s">
        <v>24</v>
      </c>
      <c r="H25" s="49" t="s">
        <v>150</v>
      </c>
      <c r="I25" s="60" t="s">
        <v>151</v>
      </c>
      <c r="J25" s="54">
        <v>5</v>
      </c>
      <c r="K25" s="40" t="s">
        <v>27</v>
      </c>
      <c r="L25" s="52"/>
      <c r="M25" s="99" t="s">
        <v>22</v>
      </c>
      <c r="N25" s="43">
        <v>0</v>
      </c>
      <c r="O25" s="31" t="s">
        <v>32</v>
      </c>
      <c r="P25" s="55" t="s">
        <v>152</v>
      </c>
      <c r="Q25" s="61" t="s">
        <v>153</v>
      </c>
      <c r="R25" s="54">
        <v>0</v>
      </c>
      <c r="S25" s="40" t="s">
        <v>27</v>
      </c>
      <c r="T25" s="16"/>
      <c r="V25" s="49" t="s">
        <v>1459</v>
      </c>
      <c r="W25" s="50" t="s">
        <v>1460</v>
      </c>
    </row>
    <row r="26" spans="1:23" ht="12.6" customHeight="1" x14ac:dyDescent="0.5">
      <c r="A26" s="182"/>
      <c r="B26" s="194"/>
      <c r="C26" s="16"/>
      <c r="D26" s="99" t="s">
        <v>22</v>
      </c>
      <c r="E26" s="32" t="s">
        <v>31</v>
      </c>
      <c r="F26" s="33">
        <v>2</v>
      </c>
      <c r="G26" s="31" t="s">
        <v>24</v>
      </c>
      <c r="H26" s="49" t="s">
        <v>154</v>
      </c>
      <c r="I26" s="60" t="s">
        <v>155</v>
      </c>
      <c r="J26" s="54">
        <v>2</v>
      </c>
      <c r="K26" s="40" t="s">
        <v>27</v>
      </c>
      <c r="L26" s="52"/>
      <c r="M26" s="99" t="s">
        <v>22</v>
      </c>
      <c r="N26" s="43">
        <v>5</v>
      </c>
      <c r="O26" s="31" t="s">
        <v>24</v>
      </c>
      <c r="P26" s="55" t="s">
        <v>156</v>
      </c>
      <c r="Q26" s="61" t="s">
        <v>157</v>
      </c>
      <c r="R26" s="54">
        <v>5</v>
      </c>
      <c r="S26" s="40" t="s">
        <v>27</v>
      </c>
      <c r="T26" s="16"/>
      <c r="V26" s="49" t="s">
        <v>1461</v>
      </c>
      <c r="W26" s="50" t="s">
        <v>1462</v>
      </c>
    </row>
    <row r="27" spans="1:23" ht="12.6" customHeight="1" x14ac:dyDescent="0.5">
      <c r="A27" s="182"/>
      <c r="B27" s="194"/>
      <c r="C27" s="16"/>
      <c r="D27" s="99" t="s">
        <v>22</v>
      </c>
      <c r="E27" s="32" t="s">
        <v>31</v>
      </c>
      <c r="F27" s="33">
        <v>3</v>
      </c>
      <c r="G27" s="31" t="s">
        <v>24</v>
      </c>
      <c r="H27" s="49" t="s">
        <v>158</v>
      </c>
      <c r="I27" s="60" t="s">
        <v>159</v>
      </c>
      <c r="J27" s="54">
        <v>3</v>
      </c>
      <c r="K27" s="40" t="s">
        <v>27</v>
      </c>
      <c r="L27" s="52"/>
      <c r="M27" s="99" t="s">
        <v>22</v>
      </c>
      <c r="N27" s="43">
        <v>5</v>
      </c>
      <c r="O27" s="31" t="s">
        <v>24</v>
      </c>
      <c r="P27" s="55" t="s">
        <v>160</v>
      </c>
      <c r="Q27" s="61" t="s">
        <v>161</v>
      </c>
      <c r="R27" s="54">
        <v>5</v>
      </c>
      <c r="S27" s="40" t="s">
        <v>27</v>
      </c>
      <c r="T27" s="16"/>
      <c r="V27" s="49" t="s">
        <v>50</v>
      </c>
      <c r="W27" s="50" t="s">
        <v>51</v>
      </c>
    </row>
    <row r="28" spans="1:23" ht="12.6" customHeight="1" x14ac:dyDescent="0.5">
      <c r="A28" s="182"/>
      <c r="B28" s="194"/>
      <c r="C28" s="16"/>
      <c r="D28" s="99" t="s">
        <v>22</v>
      </c>
      <c r="E28" s="32" t="s">
        <v>31</v>
      </c>
      <c r="F28" s="33">
        <v>2</v>
      </c>
      <c r="G28" s="31" t="s">
        <v>24</v>
      </c>
      <c r="H28" s="49" t="s">
        <v>162</v>
      </c>
      <c r="I28" s="60" t="s">
        <v>163</v>
      </c>
      <c r="J28" s="54">
        <v>2</v>
      </c>
      <c r="K28" s="40" t="s">
        <v>27</v>
      </c>
      <c r="L28" s="52"/>
      <c r="M28" s="99" t="s">
        <v>22</v>
      </c>
      <c r="N28" s="43">
        <v>5</v>
      </c>
      <c r="O28" s="31" t="s">
        <v>24</v>
      </c>
      <c r="P28" s="55" t="s">
        <v>164</v>
      </c>
      <c r="Q28" s="61" t="s">
        <v>165</v>
      </c>
      <c r="R28" s="54">
        <v>5</v>
      </c>
      <c r="S28" s="40" t="s">
        <v>27</v>
      </c>
      <c r="T28" s="16"/>
      <c r="V28" s="49" t="s">
        <v>55</v>
      </c>
      <c r="W28" s="50" t="s">
        <v>56</v>
      </c>
    </row>
    <row r="29" spans="1:23" ht="12.6" customHeight="1" x14ac:dyDescent="0.5">
      <c r="A29" s="182"/>
      <c r="B29" s="194"/>
      <c r="C29" s="16"/>
      <c r="D29" s="99" t="s">
        <v>22</v>
      </c>
      <c r="E29" s="32" t="s">
        <v>31</v>
      </c>
      <c r="F29" s="33">
        <v>2</v>
      </c>
      <c r="G29" s="31" t="s">
        <v>24</v>
      </c>
      <c r="H29" s="49" t="s">
        <v>166</v>
      </c>
      <c r="I29" s="60" t="s">
        <v>167</v>
      </c>
      <c r="J29" s="54">
        <v>2</v>
      </c>
      <c r="K29" s="40" t="s">
        <v>27</v>
      </c>
      <c r="L29" s="52"/>
      <c r="M29" s="99" t="s">
        <v>22</v>
      </c>
      <c r="N29" s="43">
        <v>5</v>
      </c>
      <c r="O29" s="31" t="s">
        <v>24</v>
      </c>
      <c r="P29" s="55" t="s">
        <v>168</v>
      </c>
      <c r="Q29" s="61" t="s">
        <v>169</v>
      </c>
      <c r="R29" s="54">
        <v>5</v>
      </c>
      <c r="S29" s="40" t="s">
        <v>27</v>
      </c>
      <c r="T29" s="16"/>
      <c r="V29" s="49" t="s">
        <v>60</v>
      </c>
      <c r="W29" s="50" t="s">
        <v>61</v>
      </c>
    </row>
    <row r="30" spans="1:23" ht="12.6" customHeight="1" x14ac:dyDescent="0.5">
      <c r="A30" s="182"/>
      <c r="B30" s="194"/>
      <c r="C30" s="16"/>
      <c r="D30" s="99" t="s">
        <v>22</v>
      </c>
      <c r="E30" s="32" t="s">
        <v>31</v>
      </c>
      <c r="F30" s="33">
        <v>5</v>
      </c>
      <c r="G30" s="31" t="s">
        <v>24</v>
      </c>
      <c r="H30" s="49" t="s">
        <v>170</v>
      </c>
      <c r="I30" s="60" t="s">
        <v>171</v>
      </c>
      <c r="J30" s="54">
        <v>5</v>
      </c>
      <c r="K30" s="40" t="s">
        <v>27</v>
      </c>
      <c r="L30" s="52"/>
      <c r="M30" s="99" t="s">
        <v>22</v>
      </c>
      <c r="N30" s="43">
        <v>5</v>
      </c>
      <c r="O30" s="31" t="s">
        <v>24</v>
      </c>
      <c r="P30" s="55" t="s">
        <v>172</v>
      </c>
      <c r="Q30" s="61" t="s">
        <v>173</v>
      </c>
      <c r="R30" s="54">
        <v>5</v>
      </c>
      <c r="S30" s="40" t="s">
        <v>27</v>
      </c>
      <c r="T30" s="16"/>
      <c r="V30" s="49" t="s">
        <v>66</v>
      </c>
      <c r="W30" s="50" t="s">
        <v>67</v>
      </c>
    </row>
    <row r="31" spans="1:23" ht="12.6" customHeight="1" x14ac:dyDescent="0.5">
      <c r="A31" s="182"/>
      <c r="B31" s="194"/>
      <c r="C31" s="16"/>
      <c r="D31" s="99" t="s">
        <v>22</v>
      </c>
      <c r="E31" s="32" t="s">
        <v>31</v>
      </c>
      <c r="F31" s="33">
        <v>8</v>
      </c>
      <c r="G31" s="31" t="s">
        <v>24</v>
      </c>
      <c r="H31" s="49" t="s">
        <v>174</v>
      </c>
      <c r="I31" s="60" t="s">
        <v>175</v>
      </c>
      <c r="J31" s="54">
        <v>8</v>
      </c>
      <c r="K31" s="40" t="s">
        <v>27</v>
      </c>
      <c r="L31" s="52"/>
      <c r="M31" s="99" t="s">
        <v>22</v>
      </c>
      <c r="N31" s="43">
        <v>5</v>
      </c>
      <c r="O31" s="31" t="s">
        <v>32</v>
      </c>
      <c r="P31" s="55" t="s">
        <v>176</v>
      </c>
      <c r="Q31" s="61" t="s">
        <v>177</v>
      </c>
      <c r="R31" s="54">
        <v>5</v>
      </c>
      <c r="S31" s="40" t="s">
        <v>27</v>
      </c>
      <c r="T31" s="16"/>
      <c r="V31" s="49" t="s">
        <v>71</v>
      </c>
      <c r="W31" s="50" t="s">
        <v>72</v>
      </c>
    </row>
    <row r="32" spans="1:23" ht="12.6" customHeight="1" x14ac:dyDescent="0.5">
      <c r="A32" s="182"/>
      <c r="B32" s="194"/>
      <c r="C32" s="16"/>
      <c r="D32" s="99" t="s">
        <v>22</v>
      </c>
      <c r="E32" s="32" t="s">
        <v>31</v>
      </c>
      <c r="F32" s="33">
        <v>2</v>
      </c>
      <c r="G32" s="31" t="s">
        <v>24</v>
      </c>
      <c r="H32" s="49" t="s">
        <v>178</v>
      </c>
      <c r="I32" s="60" t="s">
        <v>179</v>
      </c>
      <c r="J32" s="54">
        <v>2</v>
      </c>
      <c r="K32" s="40" t="s">
        <v>27</v>
      </c>
      <c r="L32" s="52"/>
      <c r="M32" s="99" t="s">
        <v>22</v>
      </c>
      <c r="N32" s="43">
        <v>5</v>
      </c>
      <c r="O32" s="31" t="s">
        <v>24</v>
      </c>
      <c r="P32" s="55" t="s">
        <v>180</v>
      </c>
      <c r="Q32" s="61" t="s">
        <v>181</v>
      </c>
      <c r="R32" s="54">
        <v>5</v>
      </c>
      <c r="S32" s="40" t="s">
        <v>27</v>
      </c>
      <c r="T32" s="16"/>
      <c r="V32" s="49" t="s">
        <v>76</v>
      </c>
      <c r="W32" s="50" t="s">
        <v>77</v>
      </c>
    </row>
    <row r="33" spans="1:23" ht="12.6" customHeight="1" x14ac:dyDescent="0.5">
      <c r="A33" s="182"/>
      <c r="B33" s="194"/>
      <c r="C33" s="16"/>
      <c r="D33" s="99" t="s">
        <v>22</v>
      </c>
      <c r="E33" s="32" t="s">
        <v>31</v>
      </c>
      <c r="F33" s="33">
        <v>4</v>
      </c>
      <c r="G33" s="31" t="s">
        <v>24</v>
      </c>
      <c r="H33" s="49" t="s">
        <v>184</v>
      </c>
      <c r="I33" s="60" t="s">
        <v>185</v>
      </c>
      <c r="J33" s="54">
        <v>4</v>
      </c>
      <c r="K33" s="40" t="s">
        <v>27</v>
      </c>
      <c r="L33" s="52"/>
      <c r="M33" s="99" t="s">
        <v>22</v>
      </c>
      <c r="N33" s="43">
        <v>5</v>
      </c>
      <c r="O33" s="31" t="s">
        <v>32</v>
      </c>
      <c r="P33" s="55" t="s">
        <v>187</v>
      </c>
      <c r="Q33" s="61" t="s">
        <v>188</v>
      </c>
      <c r="R33" s="54">
        <v>5</v>
      </c>
      <c r="S33" s="40" t="s">
        <v>27</v>
      </c>
      <c r="T33" s="16"/>
      <c r="V33" s="49" t="s">
        <v>82</v>
      </c>
      <c r="W33" s="50" t="s">
        <v>83</v>
      </c>
    </row>
    <row r="34" spans="1:23" ht="12.6" customHeight="1" x14ac:dyDescent="0.5">
      <c r="A34" s="182"/>
      <c r="B34" s="194"/>
      <c r="C34" s="16"/>
      <c r="D34" s="99" t="s">
        <v>22</v>
      </c>
      <c r="E34" s="32" t="s">
        <v>31</v>
      </c>
      <c r="F34" s="33">
        <v>6</v>
      </c>
      <c r="G34" s="31" t="s">
        <v>24</v>
      </c>
      <c r="H34" s="75" t="s">
        <v>189</v>
      </c>
      <c r="I34" s="60" t="s">
        <v>190</v>
      </c>
      <c r="J34" s="54">
        <v>6</v>
      </c>
      <c r="K34" s="40" t="s">
        <v>27</v>
      </c>
      <c r="L34" s="52"/>
      <c r="M34" s="99" t="s">
        <v>22</v>
      </c>
      <c r="N34" s="43">
        <v>5</v>
      </c>
      <c r="O34" s="31" t="s">
        <v>32</v>
      </c>
      <c r="P34" s="55" t="s">
        <v>191</v>
      </c>
      <c r="Q34" s="61" t="s">
        <v>192</v>
      </c>
      <c r="R34" s="54">
        <v>5</v>
      </c>
      <c r="S34" s="40" t="s">
        <v>27</v>
      </c>
      <c r="T34" s="16"/>
      <c r="V34" s="49" t="s">
        <v>1463</v>
      </c>
      <c r="W34" s="50" t="s">
        <v>1464</v>
      </c>
    </row>
    <row r="35" spans="1:23" ht="12.6" customHeight="1" x14ac:dyDescent="0.5">
      <c r="A35" s="182"/>
      <c r="B35" s="194"/>
      <c r="C35" s="16"/>
      <c r="D35" s="99" t="s">
        <v>22</v>
      </c>
      <c r="E35" s="32" t="s">
        <v>31</v>
      </c>
      <c r="F35" s="33">
        <v>10</v>
      </c>
      <c r="G35" s="31" t="s">
        <v>24</v>
      </c>
      <c r="H35" s="49" t="s">
        <v>193</v>
      </c>
      <c r="I35" s="60" t="s">
        <v>194</v>
      </c>
      <c r="J35" s="54">
        <v>10</v>
      </c>
      <c r="K35" s="40" t="s">
        <v>27</v>
      </c>
      <c r="L35" s="52"/>
      <c r="M35" s="99" t="s">
        <v>22</v>
      </c>
      <c r="N35" s="43">
        <v>5</v>
      </c>
      <c r="O35" s="31" t="s">
        <v>32</v>
      </c>
      <c r="P35" s="55" t="s">
        <v>195</v>
      </c>
      <c r="Q35" s="61" t="s">
        <v>196</v>
      </c>
      <c r="R35" s="54">
        <v>5</v>
      </c>
      <c r="S35" s="40" t="s">
        <v>27</v>
      </c>
      <c r="T35" s="16"/>
      <c r="V35" s="49" t="s">
        <v>88</v>
      </c>
      <c r="W35" s="50" t="s">
        <v>89</v>
      </c>
    </row>
    <row r="36" spans="1:23" ht="12.6" customHeight="1" x14ac:dyDescent="0.5">
      <c r="A36" s="182"/>
      <c r="B36" s="194"/>
      <c r="C36" s="16"/>
      <c r="D36" s="99" t="s">
        <v>22</v>
      </c>
      <c r="E36" s="32" t="s">
        <v>31</v>
      </c>
      <c r="F36" s="33">
        <v>2</v>
      </c>
      <c r="G36" s="31" t="s">
        <v>24</v>
      </c>
      <c r="H36" s="49" t="s">
        <v>197</v>
      </c>
      <c r="I36" s="60" t="s">
        <v>198</v>
      </c>
      <c r="J36" s="54">
        <v>2</v>
      </c>
      <c r="K36" s="40" t="s">
        <v>27</v>
      </c>
      <c r="L36" s="52"/>
      <c r="M36" s="99" t="s">
        <v>22</v>
      </c>
      <c r="N36" s="43">
        <v>5</v>
      </c>
      <c r="O36" s="31" t="s">
        <v>24</v>
      </c>
      <c r="P36" s="55" t="s">
        <v>199</v>
      </c>
      <c r="Q36" s="61" t="s">
        <v>200</v>
      </c>
      <c r="R36" s="54">
        <v>5</v>
      </c>
      <c r="S36" s="40" t="s">
        <v>27</v>
      </c>
      <c r="T36" s="16"/>
      <c r="V36" s="49" t="s">
        <v>1465</v>
      </c>
      <c r="W36" s="50" t="s">
        <v>1466</v>
      </c>
    </row>
    <row r="37" spans="1:23" ht="12.6" customHeight="1" x14ac:dyDescent="0.5">
      <c r="A37" s="182"/>
      <c r="B37" s="194"/>
      <c r="C37" s="16"/>
      <c r="D37" s="99" t="s">
        <v>22</v>
      </c>
      <c r="E37" s="32" t="s">
        <v>31</v>
      </c>
      <c r="F37" s="33">
        <v>4</v>
      </c>
      <c r="G37" s="31" t="s">
        <v>24</v>
      </c>
      <c r="H37" s="49" t="s">
        <v>201</v>
      </c>
      <c r="I37" s="60" t="s">
        <v>202</v>
      </c>
      <c r="J37" s="54">
        <v>4</v>
      </c>
      <c r="K37" s="40" t="s">
        <v>27</v>
      </c>
      <c r="L37" s="52"/>
      <c r="M37" s="99" t="s">
        <v>22</v>
      </c>
      <c r="N37" s="43">
        <v>6</v>
      </c>
      <c r="O37" s="31" t="s">
        <v>32</v>
      </c>
      <c r="P37" s="55" t="s">
        <v>203</v>
      </c>
      <c r="Q37" s="61" t="s">
        <v>204</v>
      </c>
      <c r="R37" s="54">
        <v>6</v>
      </c>
      <c r="S37" s="40" t="s">
        <v>27</v>
      </c>
      <c r="T37" s="16"/>
      <c r="V37" s="49" t="s">
        <v>94</v>
      </c>
      <c r="W37" s="50" t="s">
        <v>95</v>
      </c>
    </row>
    <row r="38" spans="1:23" ht="12.6" customHeight="1" x14ac:dyDescent="0.5">
      <c r="A38" s="182"/>
      <c r="B38" s="194"/>
      <c r="C38" s="16"/>
      <c r="D38" s="99" t="s">
        <v>22</v>
      </c>
      <c r="E38" s="32" t="s">
        <v>31</v>
      </c>
      <c r="F38" s="33">
        <v>4</v>
      </c>
      <c r="G38" s="31" t="s">
        <v>24</v>
      </c>
      <c r="H38" s="75" t="s">
        <v>205</v>
      </c>
      <c r="I38" s="60" t="s">
        <v>206</v>
      </c>
      <c r="J38" s="54">
        <v>4</v>
      </c>
      <c r="K38" s="40" t="s">
        <v>27</v>
      </c>
      <c r="L38" s="52"/>
      <c r="M38" s="100" t="s">
        <v>22</v>
      </c>
      <c r="N38" s="80">
        <v>4</v>
      </c>
      <c r="O38" s="34" t="s">
        <v>32</v>
      </c>
      <c r="P38" s="59" t="s">
        <v>207</v>
      </c>
      <c r="Q38" s="89" t="s">
        <v>208</v>
      </c>
      <c r="R38" s="57">
        <v>4</v>
      </c>
      <c r="S38" s="41" t="s">
        <v>27</v>
      </c>
      <c r="T38" s="16"/>
      <c r="V38" s="49" t="s">
        <v>100</v>
      </c>
      <c r="W38" s="50" t="s">
        <v>101</v>
      </c>
    </row>
    <row r="39" spans="1:23" ht="12.6" customHeight="1" x14ac:dyDescent="0.5">
      <c r="A39" s="66"/>
      <c r="B39" s="26"/>
      <c r="C39" s="16"/>
      <c r="D39" s="99" t="s">
        <v>22</v>
      </c>
      <c r="E39" s="32" t="s">
        <v>31</v>
      </c>
      <c r="F39" s="33">
        <v>2</v>
      </c>
      <c r="G39" s="31" t="s">
        <v>24</v>
      </c>
      <c r="H39" s="49" t="s">
        <v>209</v>
      </c>
      <c r="I39" s="60" t="s">
        <v>210</v>
      </c>
      <c r="J39" s="54">
        <v>2</v>
      </c>
      <c r="K39" s="40" t="s">
        <v>27</v>
      </c>
      <c r="L39" s="52"/>
      <c r="N39" s="166"/>
      <c r="O39" s="69"/>
      <c r="R39" s="166"/>
      <c r="S39" s="166"/>
      <c r="V39" s="49" t="s">
        <v>105</v>
      </c>
      <c r="W39" s="50" t="s">
        <v>106</v>
      </c>
    </row>
    <row r="40" spans="1:23" ht="12.6" customHeight="1" x14ac:dyDescent="0.5">
      <c r="A40" s="66"/>
      <c r="B40" s="26"/>
      <c r="C40" s="16"/>
      <c r="D40" s="99" t="s">
        <v>22</v>
      </c>
      <c r="E40" s="32" t="s">
        <v>31</v>
      </c>
      <c r="F40" s="33">
        <v>2</v>
      </c>
      <c r="G40" s="31" t="s">
        <v>24</v>
      </c>
      <c r="H40" s="49" t="s">
        <v>211</v>
      </c>
      <c r="I40" s="60" t="s">
        <v>212</v>
      </c>
      <c r="J40" s="54">
        <v>2</v>
      </c>
      <c r="K40" s="40" t="s">
        <v>27</v>
      </c>
      <c r="L40" s="52"/>
      <c r="N40" s="166"/>
      <c r="O40" s="69"/>
      <c r="R40" s="166"/>
      <c r="S40" s="166"/>
      <c r="V40" s="49" t="s">
        <v>1467</v>
      </c>
      <c r="W40" s="50" t="s">
        <v>1468</v>
      </c>
    </row>
    <row r="41" spans="1:23" ht="12.6" customHeight="1" x14ac:dyDescent="0.5">
      <c r="A41" s="66"/>
      <c r="B41" s="26"/>
      <c r="C41" s="16"/>
      <c r="D41" s="99" t="s">
        <v>22</v>
      </c>
      <c r="E41" s="32" t="s">
        <v>31</v>
      </c>
      <c r="F41" s="33">
        <v>6</v>
      </c>
      <c r="G41" s="31" t="s">
        <v>24</v>
      </c>
      <c r="H41" s="49" t="s">
        <v>213</v>
      </c>
      <c r="I41" s="60" t="s">
        <v>214</v>
      </c>
      <c r="J41" s="54">
        <v>6</v>
      </c>
      <c r="K41" s="40" t="s">
        <v>27</v>
      </c>
      <c r="L41" s="52"/>
      <c r="N41" s="166"/>
      <c r="O41" s="69"/>
      <c r="R41" s="166"/>
      <c r="S41" s="166"/>
      <c r="V41" s="49" t="s">
        <v>111</v>
      </c>
      <c r="W41" s="50" t="s">
        <v>112</v>
      </c>
    </row>
    <row r="42" spans="1:23" ht="12.6" customHeight="1" x14ac:dyDescent="0.5">
      <c r="A42" s="66"/>
      <c r="B42" s="26"/>
      <c r="C42" s="16"/>
      <c r="D42" s="99" t="s">
        <v>22</v>
      </c>
      <c r="E42" s="32" t="s">
        <v>31</v>
      </c>
      <c r="F42" s="33">
        <v>6</v>
      </c>
      <c r="G42" s="31" t="s">
        <v>24</v>
      </c>
      <c r="H42" s="49" t="s">
        <v>215</v>
      </c>
      <c r="I42" s="60" t="s">
        <v>216</v>
      </c>
      <c r="J42" s="54">
        <v>6</v>
      </c>
      <c r="K42" s="40" t="s">
        <v>27</v>
      </c>
      <c r="L42" s="52"/>
      <c r="N42" s="166"/>
      <c r="O42" s="69"/>
      <c r="R42" s="166"/>
      <c r="S42" s="166"/>
      <c r="V42" s="49" t="s">
        <v>117</v>
      </c>
      <c r="W42" s="50" t="s">
        <v>118</v>
      </c>
    </row>
    <row r="43" spans="1:23" ht="12.6" customHeight="1" x14ac:dyDescent="0.5">
      <c r="A43" s="66"/>
      <c r="B43" s="26"/>
      <c r="C43" s="16"/>
      <c r="D43" s="99" t="s">
        <v>22</v>
      </c>
      <c r="E43" s="32" t="s">
        <v>31</v>
      </c>
      <c r="F43" s="33">
        <v>20</v>
      </c>
      <c r="G43" s="31" t="s">
        <v>24</v>
      </c>
      <c r="H43" s="49" t="s">
        <v>217</v>
      </c>
      <c r="I43" s="60" t="s">
        <v>218</v>
      </c>
      <c r="J43" s="54">
        <v>20</v>
      </c>
      <c r="K43" s="40" t="s">
        <v>27</v>
      </c>
      <c r="L43" s="52"/>
      <c r="N43" s="166"/>
      <c r="O43" s="69"/>
      <c r="R43" s="166"/>
      <c r="S43" s="166"/>
      <c r="V43" s="49" t="s">
        <v>122</v>
      </c>
      <c r="W43" s="50" t="s">
        <v>123</v>
      </c>
    </row>
    <row r="44" spans="1:23" ht="12.6" customHeight="1" x14ac:dyDescent="0.5">
      <c r="A44" s="66"/>
      <c r="B44" s="26"/>
      <c r="C44" s="16"/>
      <c r="D44" s="99" t="s">
        <v>22</v>
      </c>
      <c r="E44" s="32" t="s">
        <v>31</v>
      </c>
      <c r="F44" s="33">
        <v>2</v>
      </c>
      <c r="G44" s="31" t="s">
        <v>24</v>
      </c>
      <c r="H44" s="49" t="s">
        <v>219</v>
      </c>
      <c r="I44" s="60" t="s">
        <v>220</v>
      </c>
      <c r="J44" s="54">
        <v>2</v>
      </c>
      <c r="K44" s="40" t="s">
        <v>27</v>
      </c>
      <c r="L44" s="52"/>
      <c r="N44" s="166"/>
      <c r="O44" s="69"/>
      <c r="R44" s="166"/>
      <c r="S44" s="166"/>
      <c r="V44" s="49" t="s">
        <v>127</v>
      </c>
      <c r="W44" s="50" t="s">
        <v>128</v>
      </c>
    </row>
    <row r="45" spans="1:23" ht="12.6" customHeight="1" x14ac:dyDescent="0.5">
      <c r="A45" s="66"/>
      <c r="B45" s="26"/>
      <c r="C45" s="16"/>
      <c r="D45" s="99" t="s">
        <v>22</v>
      </c>
      <c r="E45" s="32" t="s">
        <v>31</v>
      </c>
      <c r="F45" s="33">
        <v>5</v>
      </c>
      <c r="G45" s="31" t="s">
        <v>32</v>
      </c>
      <c r="H45" s="49" t="s">
        <v>221</v>
      </c>
      <c r="I45" s="60" t="s">
        <v>222</v>
      </c>
      <c r="J45" s="54">
        <v>5</v>
      </c>
      <c r="K45" s="40" t="s">
        <v>27</v>
      </c>
      <c r="L45" s="52"/>
      <c r="N45" s="166"/>
      <c r="O45" s="69"/>
      <c r="R45" s="166"/>
      <c r="S45" s="166"/>
      <c r="V45" s="49" t="s">
        <v>1469</v>
      </c>
      <c r="W45" s="50" t="s">
        <v>1470</v>
      </c>
    </row>
    <row r="46" spans="1:23" ht="12.6" customHeight="1" x14ac:dyDescent="0.5">
      <c r="A46" s="66"/>
      <c r="B46" s="26"/>
      <c r="C46" s="16"/>
      <c r="D46" s="99" t="s">
        <v>22</v>
      </c>
      <c r="E46" s="32" t="s">
        <v>31</v>
      </c>
      <c r="F46" s="33">
        <v>4</v>
      </c>
      <c r="G46" s="31" t="s">
        <v>24</v>
      </c>
      <c r="H46" s="49" t="s">
        <v>223</v>
      </c>
      <c r="I46" s="60" t="s">
        <v>224</v>
      </c>
      <c r="J46" s="54">
        <v>4</v>
      </c>
      <c r="K46" s="40" t="s">
        <v>27</v>
      </c>
      <c r="L46" s="52"/>
      <c r="N46" s="166"/>
      <c r="O46" s="69"/>
      <c r="R46" s="166"/>
      <c r="S46" s="166"/>
      <c r="V46" s="49" t="s">
        <v>131</v>
      </c>
      <c r="W46" s="50" t="s">
        <v>132</v>
      </c>
    </row>
    <row r="47" spans="1:23" ht="12.6" customHeight="1" x14ac:dyDescent="0.5">
      <c r="A47" s="66"/>
      <c r="B47" s="26"/>
      <c r="C47" s="16"/>
      <c r="D47" s="99" t="s">
        <v>22</v>
      </c>
      <c r="E47" s="32" t="s">
        <v>31</v>
      </c>
      <c r="F47" s="33">
        <v>4</v>
      </c>
      <c r="G47" s="31" t="s">
        <v>24</v>
      </c>
      <c r="H47" s="49" t="s">
        <v>225</v>
      </c>
      <c r="I47" s="60" t="s">
        <v>226</v>
      </c>
      <c r="J47" s="54">
        <v>4</v>
      </c>
      <c r="K47" s="40" t="s">
        <v>27</v>
      </c>
      <c r="L47" s="52"/>
      <c r="N47" s="166"/>
      <c r="O47" s="69"/>
      <c r="R47" s="166"/>
      <c r="S47" s="166"/>
      <c r="V47" s="49" t="s">
        <v>136</v>
      </c>
      <c r="W47" s="50" t="s">
        <v>137</v>
      </c>
    </row>
    <row r="48" spans="1:23" ht="12.6" customHeight="1" x14ac:dyDescent="0.5">
      <c r="A48" s="66"/>
      <c r="B48" s="26"/>
      <c r="C48" s="16"/>
      <c r="D48" s="99" t="s">
        <v>22</v>
      </c>
      <c r="E48" s="32" t="s">
        <v>31</v>
      </c>
      <c r="F48" s="33">
        <v>2</v>
      </c>
      <c r="G48" s="31" t="s">
        <v>24</v>
      </c>
      <c r="H48" s="49" t="s">
        <v>227</v>
      </c>
      <c r="I48" s="60" t="s">
        <v>228</v>
      </c>
      <c r="J48" s="54">
        <v>2</v>
      </c>
      <c r="K48" s="40" t="s">
        <v>27</v>
      </c>
      <c r="L48" s="52"/>
      <c r="N48" s="166"/>
      <c r="O48" s="69"/>
      <c r="R48" s="166"/>
      <c r="S48" s="166"/>
      <c r="V48" s="49" t="s">
        <v>1471</v>
      </c>
      <c r="W48" s="50" t="s">
        <v>1472</v>
      </c>
    </row>
    <row r="49" spans="1:23" ht="12.6" customHeight="1" x14ac:dyDescent="0.5">
      <c r="A49" s="66"/>
      <c r="B49" s="26"/>
      <c r="C49" s="16"/>
      <c r="D49" s="99" t="s">
        <v>22</v>
      </c>
      <c r="E49" s="32" t="s">
        <v>31</v>
      </c>
      <c r="F49" s="33">
        <v>2</v>
      </c>
      <c r="G49" s="31" t="s">
        <v>24</v>
      </c>
      <c r="H49" s="49" t="s">
        <v>229</v>
      </c>
      <c r="I49" s="60" t="s">
        <v>230</v>
      </c>
      <c r="J49" s="54">
        <v>2</v>
      </c>
      <c r="K49" s="40" t="s">
        <v>27</v>
      </c>
      <c r="L49" s="52"/>
      <c r="N49" s="166"/>
      <c r="O49" s="69"/>
      <c r="R49" s="166"/>
      <c r="S49" s="166"/>
      <c r="V49" s="49" t="s">
        <v>141</v>
      </c>
      <c r="W49" s="50" t="s">
        <v>1473</v>
      </c>
    </row>
    <row r="50" spans="1:23" ht="12.6" customHeight="1" x14ac:dyDescent="0.5">
      <c r="A50" s="66"/>
      <c r="B50" s="26"/>
      <c r="C50" s="16"/>
      <c r="D50" s="99" t="s">
        <v>22</v>
      </c>
      <c r="E50" s="32" t="s">
        <v>31</v>
      </c>
      <c r="F50" s="33">
        <v>2</v>
      </c>
      <c r="G50" s="31" t="s">
        <v>24</v>
      </c>
      <c r="H50" s="49" t="s">
        <v>231</v>
      </c>
      <c r="I50" s="60" t="s">
        <v>232</v>
      </c>
      <c r="J50" s="54">
        <v>2</v>
      </c>
      <c r="K50" s="40" t="s">
        <v>27</v>
      </c>
      <c r="L50" s="52"/>
      <c r="N50" s="166"/>
      <c r="O50" s="69"/>
      <c r="R50" s="166"/>
      <c r="S50" s="166"/>
      <c r="V50" s="49" t="s">
        <v>1474</v>
      </c>
      <c r="W50" s="50" t="s">
        <v>1475</v>
      </c>
    </row>
    <row r="51" spans="1:23" ht="12.6" customHeight="1" x14ac:dyDescent="0.5">
      <c r="A51" s="66"/>
      <c r="B51" s="26"/>
      <c r="C51" s="16"/>
      <c r="D51" s="99" t="s">
        <v>22</v>
      </c>
      <c r="E51" s="32" t="s">
        <v>31</v>
      </c>
      <c r="F51" s="33">
        <v>1</v>
      </c>
      <c r="G51" s="31" t="s">
        <v>24</v>
      </c>
      <c r="H51" s="49" t="s">
        <v>233</v>
      </c>
      <c r="I51" s="60" t="s">
        <v>234</v>
      </c>
      <c r="J51" s="54">
        <v>1</v>
      </c>
      <c r="K51" s="40" t="s">
        <v>27</v>
      </c>
      <c r="L51" s="52"/>
      <c r="N51" s="166"/>
      <c r="O51" s="69"/>
      <c r="R51" s="166"/>
      <c r="S51" s="166"/>
      <c r="V51" s="49" t="s">
        <v>145</v>
      </c>
      <c r="W51" s="50" t="s">
        <v>146</v>
      </c>
    </row>
    <row r="52" spans="1:23" ht="12.6" customHeight="1" x14ac:dyDescent="0.5">
      <c r="A52" s="66"/>
      <c r="B52" s="26"/>
      <c r="C52" s="16"/>
      <c r="D52" s="99" t="s">
        <v>22</v>
      </c>
      <c r="E52" s="32" t="s">
        <v>31</v>
      </c>
      <c r="F52" s="33">
        <v>2</v>
      </c>
      <c r="G52" s="31" t="s">
        <v>24</v>
      </c>
      <c r="H52" s="49" t="s">
        <v>235</v>
      </c>
      <c r="I52" s="60" t="s">
        <v>236</v>
      </c>
      <c r="J52" s="54">
        <v>2</v>
      </c>
      <c r="K52" s="40" t="s">
        <v>27</v>
      </c>
      <c r="L52" s="58"/>
      <c r="N52" s="166"/>
      <c r="O52" s="69"/>
      <c r="R52" s="166"/>
      <c r="S52" s="166"/>
      <c r="V52" s="49" t="s">
        <v>150</v>
      </c>
      <c r="W52" s="50" t="s">
        <v>151</v>
      </c>
    </row>
    <row r="53" spans="1:23" ht="12.6" customHeight="1" x14ac:dyDescent="0.5">
      <c r="A53" s="66"/>
      <c r="B53" s="26"/>
      <c r="C53" s="16"/>
      <c r="D53" s="99" t="s">
        <v>22</v>
      </c>
      <c r="E53" s="32" t="s">
        <v>237</v>
      </c>
      <c r="F53" s="33">
        <v>6</v>
      </c>
      <c r="G53" s="31" t="s">
        <v>24</v>
      </c>
      <c r="H53" s="49" t="s">
        <v>238</v>
      </c>
      <c r="I53" s="60" t="s">
        <v>239</v>
      </c>
      <c r="J53" s="54">
        <v>6</v>
      </c>
      <c r="K53" s="40" t="s">
        <v>27</v>
      </c>
      <c r="L53" s="52"/>
      <c r="N53" s="108"/>
      <c r="O53" s="69"/>
      <c r="Q53" s="83"/>
      <c r="R53" s="108"/>
      <c r="S53" s="166"/>
      <c r="V53" s="49" t="s">
        <v>154</v>
      </c>
      <c r="W53" s="50" t="s">
        <v>155</v>
      </c>
    </row>
    <row r="54" spans="1:23" ht="12.6" customHeight="1" x14ac:dyDescent="0.5">
      <c r="A54" s="66"/>
      <c r="B54" s="26"/>
      <c r="C54" s="16"/>
      <c r="D54" s="99" t="s">
        <v>22</v>
      </c>
      <c r="E54" s="32" t="s">
        <v>240</v>
      </c>
      <c r="F54" s="33">
        <v>6</v>
      </c>
      <c r="G54" s="31" t="s">
        <v>24</v>
      </c>
      <c r="H54" s="49" t="s">
        <v>240</v>
      </c>
      <c r="I54" s="60" t="s">
        <v>241</v>
      </c>
      <c r="J54" s="54">
        <v>6</v>
      </c>
      <c r="K54" s="40" t="s">
        <v>27</v>
      </c>
      <c r="L54" s="52"/>
      <c r="N54" s="108"/>
      <c r="O54" s="69"/>
      <c r="Q54" s="83"/>
      <c r="R54" s="108"/>
      <c r="S54" s="166"/>
      <c r="V54" s="49" t="s">
        <v>1476</v>
      </c>
      <c r="W54" s="50" t="s">
        <v>1477</v>
      </c>
    </row>
    <row r="55" spans="1:23" ht="12.6" customHeight="1" x14ac:dyDescent="0.5">
      <c r="A55" s="66"/>
      <c r="B55" s="26"/>
      <c r="C55" s="16"/>
      <c r="D55" s="99" t="s">
        <v>22</v>
      </c>
      <c r="E55" s="32" t="s">
        <v>240</v>
      </c>
      <c r="F55" s="33">
        <v>6</v>
      </c>
      <c r="G55" s="31" t="s">
        <v>24</v>
      </c>
      <c r="H55" s="49" t="s">
        <v>240</v>
      </c>
      <c r="I55" s="60" t="s">
        <v>242</v>
      </c>
      <c r="J55" s="54">
        <v>6</v>
      </c>
      <c r="K55" s="40" t="s">
        <v>27</v>
      </c>
      <c r="L55" s="52"/>
      <c r="N55" s="166"/>
      <c r="O55" s="69"/>
      <c r="R55" s="166"/>
      <c r="S55" s="166"/>
      <c r="V55" s="49" t="s">
        <v>158</v>
      </c>
      <c r="W55" s="50" t="s">
        <v>159</v>
      </c>
    </row>
    <row r="56" spans="1:23" ht="12.6" customHeight="1" x14ac:dyDescent="0.5">
      <c r="A56" s="66"/>
      <c r="B56" s="26"/>
      <c r="C56" s="16"/>
      <c r="D56" s="99" t="s">
        <v>22</v>
      </c>
      <c r="E56" s="32" t="s">
        <v>240</v>
      </c>
      <c r="F56" s="33">
        <v>6</v>
      </c>
      <c r="G56" s="31" t="s">
        <v>24</v>
      </c>
      <c r="H56" s="49" t="s">
        <v>240</v>
      </c>
      <c r="I56" s="60" t="s">
        <v>243</v>
      </c>
      <c r="J56" s="54">
        <v>6</v>
      </c>
      <c r="K56" s="40" t="s">
        <v>27</v>
      </c>
      <c r="L56" s="52"/>
      <c r="N56" s="166"/>
      <c r="O56" s="69"/>
      <c r="R56" s="166"/>
      <c r="S56" s="166"/>
      <c r="V56" s="49" t="s">
        <v>1478</v>
      </c>
      <c r="W56" s="50" t="s">
        <v>1479</v>
      </c>
    </row>
    <row r="57" spans="1:23" ht="12.6" customHeight="1" x14ac:dyDescent="0.5">
      <c r="A57" s="66"/>
      <c r="B57" s="26"/>
      <c r="C57" s="16"/>
      <c r="D57" s="99" t="s">
        <v>22</v>
      </c>
      <c r="E57" s="32" t="s">
        <v>240</v>
      </c>
      <c r="F57" s="33">
        <v>6</v>
      </c>
      <c r="G57" s="31" t="s">
        <v>24</v>
      </c>
      <c r="H57" s="49" t="s">
        <v>240</v>
      </c>
      <c r="I57" s="60" t="s">
        <v>244</v>
      </c>
      <c r="J57" s="54">
        <v>6</v>
      </c>
      <c r="K57" s="40" t="s">
        <v>27</v>
      </c>
      <c r="L57" s="52"/>
      <c r="N57" s="166"/>
      <c r="O57" s="69"/>
      <c r="R57" s="166"/>
      <c r="S57" s="166"/>
      <c r="V57" s="49" t="s">
        <v>162</v>
      </c>
      <c r="W57" s="50" t="s">
        <v>163</v>
      </c>
    </row>
    <row r="58" spans="1:23" ht="12.6" customHeight="1" x14ac:dyDescent="0.5">
      <c r="A58" s="66"/>
      <c r="B58" s="26"/>
      <c r="C58" s="16"/>
      <c r="D58" s="99" t="s">
        <v>22</v>
      </c>
      <c r="E58" s="32" t="s">
        <v>240</v>
      </c>
      <c r="F58" s="33">
        <v>6</v>
      </c>
      <c r="G58" s="31" t="s">
        <v>24</v>
      </c>
      <c r="H58" s="49" t="s">
        <v>240</v>
      </c>
      <c r="I58" s="60" t="s">
        <v>245</v>
      </c>
      <c r="J58" s="54">
        <v>6</v>
      </c>
      <c r="K58" s="40" t="s">
        <v>27</v>
      </c>
      <c r="L58" s="52"/>
      <c r="N58" s="166"/>
      <c r="O58" s="69"/>
      <c r="R58" s="166"/>
      <c r="S58" s="166"/>
      <c r="V58" s="49" t="s">
        <v>166</v>
      </c>
      <c r="W58" s="50" t="s">
        <v>167</v>
      </c>
    </row>
    <row r="59" spans="1:23" ht="12.6" customHeight="1" x14ac:dyDescent="0.5">
      <c r="A59" s="66"/>
      <c r="B59" s="26"/>
      <c r="C59" s="16"/>
      <c r="D59" s="99" t="s">
        <v>22</v>
      </c>
      <c r="E59" s="32" t="s">
        <v>246</v>
      </c>
      <c r="F59" s="33">
        <v>6</v>
      </c>
      <c r="G59" s="31" t="s">
        <v>24</v>
      </c>
      <c r="H59" s="49" t="s">
        <v>247</v>
      </c>
      <c r="I59" s="60" t="s">
        <v>248</v>
      </c>
      <c r="J59" s="54">
        <v>6</v>
      </c>
      <c r="K59" s="40" t="s">
        <v>27</v>
      </c>
      <c r="L59" s="52"/>
      <c r="N59" s="166"/>
      <c r="O59" s="69"/>
      <c r="R59" s="166"/>
      <c r="S59" s="166"/>
      <c r="V59" s="49" t="s">
        <v>170</v>
      </c>
      <c r="W59" s="50" t="s">
        <v>171</v>
      </c>
    </row>
    <row r="60" spans="1:23" ht="12.6" customHeight="1" x14ac:dyDescent="0.5">
      <c r="A60" s="66"/>
      <c r="B60" s="26"/>
      <c r="C60" s="16"/>
      <c r="D60" s="99" t="s">
        <v>22</v>
      </c>
      <c r="E60" s="32" t="s">
        <v>246</v>
      </c>
      <c r="F60" s="33">
        <v>6</v>
      </c>
      <c r="G60" s="31" t="s">
        <v>24</v>
      </c>
      <c r="H60" s="49" t="s">
        <v>247</v>
      </c>
      <c r="I60" s="60" t="s">
        <v>250</v>
      </c>
      <c r="J60" s="54">
        <v>6</v>
      </c>
      <c r="K60" s="40" t="s">
        <v>27</v>
      </c>
      <c r="L60" s="52"/>
      <c r="N60" s="166"/>
      <c r="O60" s="69"/>
      <c r="R60" s="166"/>
      <c r="S60" s="166"/>
      <c r="V60" s="49" t="s">
        <v>174</v>
      </c>
      <c r="W60" s="50" t="s">
        <v>175</v>
      </c>
    </row>
    <row r="61" spans="1:23" ht="12.6" customHeight="1" x14ac:dyDescent="0.5">
      <c r="A61" s="68"/>
      <c r="B61" s="27"/>
      <c r="C61" s="17"/>
      <c r="D61" s="100" t="s">
        <v>22</v>
      </c>
      <c r="E61" s="35" t="s">
        <v>251</v>
      </c>
      <c r="F61" s="36">
        <v>6</v>
      </c>
      <c r="G61" s="34" t="s">
        <v>24</v>
      </c>
      <c r="H61" s="56" t="s">
        <v>252</v>
      </c>
      <c r="I61" s="82" t="s">
        <v>253</v>
      </c>
      <c r="J61" s="57">
        <v>6</v>
      </c>
      <c r="K61" s="41" t="s">
        <v>27</v>
      </c>
      <c r="L61" s="52"/>
      <c r="N61" s="166"/>
      <c r="O61" s="69"/>
      <c r="R61" s="166"/>
      <c r="S61" s="166"/>
      <c r="V61" s="49" t="s">
        <v>1480</v>
      </c>
      <c r="W61" s="50" t="s">
        <v>1481</v>
      </c>
    </row>
    <row r="62" spans="1:23" ht="12.6" customHeight="1" x14ac:dyDescent="0.5">
      <c r="V62" s="49" t="s">
        <v>1482</v>
      </c>
      <c r="W62" s="50" t="s">
        <v>1483</v>
      </c>
    </row>
    <row r="63" spans="1:23" ht="12.6" customHeight="1" x14ac:dyDescent="0.5">
      <c r="V63" s="49" t="s">
        <v>1484</v>
      </c>
      <c r="W63" s="50" t="s">
        <v>1485</v>
      </c>
    </row>
    <row r="64" spans="1:23" ht="12.6" customHeight="1" x14ac:dyDescent="0.5">
      <c r="V64" s="49" t="s">
        <v>1486</v>
      </c>
      <c r="W64" s="50" t="s">
        <v>1487</v>
      </c>
    </row>
    <row r="65" spans="22:23" ht="12.6" customHeight="1" x14ac:dyDescent="0.5">
      <c r="V65" s="49" t="s">
        <v>1488</v>
      </c>
      <c r="W65" s="50" t="s">
        <v>1489</v>
      </c>
    </row>
    <row r="66" spans="22:23" ht="12.6" customHeight="1" x14ac:dyDescent="0.5">
      <c r="V66" s="49" t="s">
        <v>178</v>
      </c>
      <c r="W66" s="50" t="s">
        <v>179</v>
      </c>
    </row>
    <row r="67" spans="22:23" ht="12.6" customHeight="1" x14ac:dyDescent="0.5">
      <c r="V67" s="49" t="s">
        <v>184</v>
      </c>
      <c r="W67" s="50" t="s">
        <v>185</v>
      </c>
    </row>
    <row r="68" spans="22:23" ht="12.6" customHeight="1" x14ac:dyDescent="0.5">
      <c r="V68" s="49" t="s">
        <v>189</v>
      </c>
      <c r="W68" s="50" t="s">
        <v>190</v>
      </c>
    </row>
    <row r="69" spans="22:23" ht="12.6" customHeight="1" x14ac:dyDescent="0.5">
      <c r="V69" s="49" t="s">
        <v>193</v>
      </c>
      <c r="W69" s="50" t="s">
        <v>194</v>
      </c>
    </row>
    <row r="70" spans="22:23" ht="12.6" customHeight="1" x14ac:dyDescent="0.5">
      <c r="V70" s="49" t="s">
        <v>197</v>
      </c>
      <c r="W70" s="50" t="s">
        <v>198</v>
      </c>
    </row>
    <row r="71" spans="22:23" ht="12.6" customHeight="1" x14ac:dyDescent="0.5">
      <c r="V71" s="49" t="s">
        <v>201</v>
      </c>
      <c r="W71" s="50" t="s">
        <v>202</v>
      </c>
    </row>
    <row r="72" spans="22:23" ht="12.6" customHeight="1" x14ac:dyDescent="0.5">
      <c r="V72" s="49" t="s">
        <v>1490</v>
      </c>
      <c r="W72" s="50" t="s">
        <v>1491</v>
      </c>
    </row>
    <row r="73" spans="22:23" ht="12.6" customHeight="1" x14ac:dyDescent="0.5">
      <c r="V73" s="49" t="s">
        <v>205</v>
      </c>
      <c r="W73" s="50" t="s">
        <v>206</v>
      </c>
    </row>
    <row r="74" spans="22:23" ht="12.6" customHeight="1" x14ac:dyDescent="0.5">
      <c r="V74" s="49" t="s">
        <v>209</v>
      </c>
      <c r="W74" s="50" t="s">
        <v>210</v>
      </c>
    </row>
    <row r="75" spans="22:23" ht="12.6" customHeight="1" x14ac:dyDescent="0.5">
      <c r="V75" s="49" t="s">
        <v>1492</v>
      </c>
      <c r="W75" s="50" t="s">
        <v>1493</v>
      </c>
    </row>
    <row r="76" spans="22:23" ht="12.6" customHeight="1" x14ac:dyDescent="0.5">
      <c r="V76" s="49" t="s">
        <v>1494</v>
      </c>
      <c r="W76" s="50" t="s">
        <v>1495</v>
      </c>
    </row>
    <row r="77" spans="22:23" ht="12.6" customHeight="1" x14ac:dyDescent="0.5">
      <c r="V77" s="49" t="s">
        <v>1496</v>
      </c>
      <c r="W77" s="50" t="s">
        <v>1497</v>
      </c>
    </row>
    <row r="78" spans="22:23" ht="12.6" customHeight="1" x14ac:dyDescent="0.5">
      <c r="V78" s="49" t="s">
        <v>1498</v>
      </c>
      <c r="W78" s="50" t="s">
        <v>1499</v>
      </c>
    </row>
    <row r="79" spans="22:23" ht="12.6" customHeight="1" x14ac:dyDescent="0.5">
      <c r="V79" s="49" t="s">
        <v>1500</v>
      </c>
      <c r="W79" s="50" t="s">
        <v>1501</v>
      </c>
    </row>
    <row r="80" spans="22:23" ht="12.6" customHeight="1" x14ac:dyDescent="0.5">
      <c r="V80" s="49" t="s">
        <v>1502</v>
      </c>
      <c r="W80" s="50" t="s">
        <v>1503</v>
      </c>
    </row>
    <row r="81" spans="22:23" ht="12.6" customHeight="1" x14ac:dyDescent="0.5">
      <c r="V81" s="49" t="s">
        <v>1504</v>
      </c>
      <c r="W81" s="50" t="s">
        <v>1505</v>
      </c>
    </row>
    <row r="82" spans="22:23" ht="12.6" customHeight="1" x14ac:dyDescent="0.5">
      <c r="V82" s="49" t="s">
        <v>1506</v>
      </c>
      <c r="W82" s="50" t="s">
        <v>1506</v>
      </c>
    </row>
    <row r="83" spans="22:23" ht="12.6" customHeight="1" x14ac:dyDescent="0.5">
      <c r="V83" s="49" t="s">
        <v>1507</v>
      </c>
      <c r="W83" s="50" t="s">
        <v>1508</v>
      </c>
    </row>
    <row r="84" spans="22:23" ht="12.6" customHeight="1" x14ac:dyDescent="0.5">
      <c r="V84" s="49" t="s">
        <v>1509</v>
      </c>
      <c r="W84" s="50" t="s">
        <v>1510</v>
      </c>
    </row>
    <row r="85" spans="22:23" ht="12.6" customHeight="1" x14ac:dyDescent="0.5">
      <c r="V85" s="49" t="s">
        <v>1511</v>
      </c>
      <c r="W85" s="50" t="s">
        <v>1512</v>
      </c>
    </row>
    <row r="86" spans="22:23" ht="12.6" customHeight="1" x14ac:dyDescent="0.5">
      <c r="V86" s="49" t="s">
        <v>1513</v>
      </c>
      <c r="W86" s="50" t="s">
        <v>1513</v>
      </c>
    </row>
    <row r="87" spans="22:23" ht="12.6" customHeight="1" x14ac:dyDescent="0.5">
      <c r="V87" s="49" t="s">
        <v>250</v>
      </c>
      <c r="W87" s="50" t="s">
        <v>250</v>
      </c>
    </row>
  </sheetData>
  <mergeCells count="4">
    <mergeCell ref="A16:B16"/>
    <mergeCell ref="A7:B7"/>
    <mergeCell ref="A11:B11"/>
    <mergeCell ref="A25:B38"/>
  </mergeCells>
  <phoneticPr fontId="32" type="noConversion"/>
  <conditionalFormatting sqref="D2:D61 M2:M38">
    <cfRule type="cellIs" dxfId="2" priority="1" stopIfTrue="1" operator="equal">
      <formula>"Y"</formula>
    </cfRule>
  </conditionalFormatting>
  <dataValidations count="16">
    <dataValidation type="list" showInputMessage="1" showErrorMessage="1" sqref="O2:O38 G2:G61" xr:uid="{00000000-0002-0000-0900-000000000000}">
      <formula1>"New,Reused"</formula1>
    </dataValidation>
    <dataValidation type="list" showInputMessage="1" showErrorMessage="1" sqref="B13:C13" xr:uid="{00000000-0002-0000-0900-000001000000}">
      <formula1>"EVT, EVT1,EVT2,DVT1,DVT2,PVT,OK2PILOT"</formula1>
    </dataValidation>
    <dataValidation type="list" showInputMessage="1" showErrorMessage="1" sqref="M2:M38 D2:D61" xr:uid="{00000000-0002-0000-0900-000002000000}">
      <formula1>"Y, N"</formula1>
    </dataValidation>
    <dataValidation type="list" showInputMessage="1" showErrorMessage="1" sqref="B18:C18" xr:uid="{00000000-0002-0000-0900-000003000000}">
      <formula1>"R&amp;D,Supply Chain"</formula1>
    </dataValidation>
    <dataValidation type="list" showInputMessage="1" showErrorMessage="1" sqref="B12:C12" xr:uid="{00000000-0002-0000-0900-000004000000}">
      <formula1>"WuHan,Brazil,Wintech,Huaqin,Longcheer"</formula1>
    </dataValidation>
    <dataValidation type="list" showInputMessage="1" showErrorMessage="1" sqref="B6:C6" xr:uid="{00000000-0002-0000-0900-000005000000}">
      <formula1>"ALT Lab,Dev Engr"</formula1>
    </dataValidation>
    <dataValidation type="list" showInputMessage="1" showErrorMessage="1" sqref="B2:C2" xr:uid="{00000000-0002-0000-0900-000006000000}">
      <formula1>"WuHan Rel. Lab,Brazil Rel. Lab,Illinois Rel. Lab"</formula1>
    </dataValidation>
    <dataValidation type="list" showInputMessage="1" showErrorMessage="1" sqref="E61" xr:uid="{00000000-0002-0000-0900-000007000000}">
      <formula1>"Others"</formula1>
    </dataValidation>
    <dataValidation type="list" showInputMessage="1" showErrorMessage="1" sqref="E59:E60" xr:uid="{00000000-0002-0000-0900-000008000000}">
      <formula1>"Evaluation/DOE"</formula1>
    </dataValidation>
    <dataValidation type="list" showInputMessage="1" showErrorMessage="1" sqref="E54:E58" xr:uid="{00000000-0002-0000-0900-000009000000}">
      <formula1>"ERT"</formula1>
    </dataValidation>
    <dataValidation type="list" showInputMessage="1" showErrorMessage="1" sqref="E53" xr:uid="{00000000-0002-0000-0900-00000A000000}">
      <formula1>"Battery ALT, Battery ALT Eval"</formula1>
    </dataValidation>
    <dataValidation type="list" showInputMessage="1" showErrorMessage="1" sqref="E3:E52" xr:uid="{00000000-0002-0000-0900-00000B000000}">
      <formula1>"DVT, DVT Eval, C-DVT"</formula1>
    </dataValidation>
    <dataValidation type="list" showInputMessage="1" showErrorMessage="1" sqref="E2" xr:uid="{00000000-0002-0000-0900-00000C000000}">
      <formula1>"ALT, ALT Eval , CALT"</formula1>
    </dataValidation>
    <dataValidation type="list" showInputMessage="1" showErrorMessage="1" sqref="B5:C5" xr:uid="{00000000-0002-0000-0900-00000D000000}">
      <formula1>"Pre SA,Post SA"</formula1>
    </dataValidation>
    <dataValidation type="list" showInputMessage="1" showErrorMessage="1" sqref="B17:C17" xr:uid="{00000000-0002-0000-0900-00000E000000}">
      <formula1>"New Product,Second Source,Validation/DOE,Competitive Reliability,Design Change,Factory Rework Audio,Manufacturing Acceptance (MA),New Componet,Process Change,Shipping Acceptance (SA)"</formula1>
    </dataValidation>
    <dataValidation type="list" showInputMessage="1" showErrorMessage="1" sqref="A1" xr:uid="{00000000-0002-0000-0900-00000F000000}">
      <formula1>"Moto Mobile Product, Accessory/Others"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7" r:id="rId3" name="Button 5">
              <controlPr defaultSize="0" print="0" autoFill="0" autoPict="0" macro="[0]!set_all_to_Origin">
                <anchor moveWithCells="1" sizeWithCells="1">
                  <from>
                    <xdr:col>1</xdr:col>
                    <xdr:colOff>34290</xdr:colOff>
                    <xdr:row>0</xdr:row>
                    <xdr:rowOff>19050</xdr:rowOff>
                  </from>
                  <to>
                    <xdr:col>1</xdr:col>
                    <xdr:colOff>872490</xdr:colOff>
                    <xdr:row>1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Product</vt:lpstr>
      <vt:lpstr>Submit</vt:lpstr>
      <vt:lpstr>ALT Number</vt:lpstr>
      <vt:lpstr>Sheet1</vt:lpstr>
      <vt:lpstr>Test Groups</vt:lpstr>
      <vt:lpstr>Test Items</vt:lpstr>
      <vt:lpstr>DVT Assessment</vt:lpstr>
      <vt:lpstr>Backup-Groups</vt:lpstr>
      <vt:lpstr>Version</vt:lpstr>
      <vt:lpstr>Backup</vt:lpstr>
      <vt:lpstr>Post_SA</vt:lpstr>
      <vt:lpstr>Pre_SA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Jianhua JH4 He</dc:creator>
  <cp:lastModifiedBy>Jianhua JH4 He</cp:lastModifiedBy>
  <dcterms:created xsi:type="dcterms:W3CDTF">2019-08-20T05:50:36Z</dcterms:created>
  <dcterms:modified xsi:type="dcterms:W3CDTF">2021-07-08T05:13:11Z</dcterms:modified>
</cp:coreProperties>
</file>